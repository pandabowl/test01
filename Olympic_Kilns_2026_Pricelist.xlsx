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lns" sheetId="1" state="visible" r:id="rId3"/>
    <sheet name="Controller Prices" sheetId="2" state="visible" r:id="rId4"/>
    <sheet name="Furniture Kits" sheetId="3" state="visible" r:id="rId5"/>
    <sheet name="Accessories" sheetId="4" state="visible" r:id="rId6"/>
    <sheet name="Kiln Shelves" sheetId="5" state="visible" r:id="rId7"/>
    <sheet name="Kiln Posts" sheetId="6" state="visible" r:id="rId8"/>
    <sheet name="Solid State Relays" sheetId="7" state="visible" r:id="rId9"/>
    <sheet name="Notes" sheetId="8" state="visible" r:id="rId10"/>
  </sheets>
  <definedNames>
    <definedName function="false" hidden="false" localSheetId="3" name="_xlnm.Print_Titles" vbProcedure="false">Accessories!$1:$1</definedName>
    <definedName function="false" hidden="true" localSheetId="3" name="_xlnm._FilterDatabase" vbProcedure="false">Accessories!$A$1:$E$62</definedName>
    <definedName function="false" hidden="false" localSheetId="1" name="_xlnm.Print_Titles" vbProcedure="false">'Controller Prices'!$1:$1</definedName>
    <definedName function="false" hidden="true" localSheetId="1" name="_xlnm._FilterDatabase" vbProcedure="false">'Controller Prices'!$A$1:$J$199</definedName>
    <definedName function="false" hidden="false" localSheetId="2" name="_xlnm.Print_Titles" vbProcedure="false">'Furniture Kits'!$1:$1</definedName>
    <definedName function="false" hidden="true" localSheetId="2" name="_xlnm._FilterDatabase" vbProcedure="false">'Furniture Kits'!$A$1:$F$80</definedName>
    <definedName function="false" hidden="false" localSheetId="5" name="_xlnm.Print_Titles" vbProcedure="false">'Kiln Posts'!$1:$1</definedName>
    <definedName function="false" hidden="true" localSheetId="5" name="_xlnm._FilterDatabase" vbProcedure="false">'Kiln Posts'!$A$1:$E$21</definedName>
    <definedName function="false" hidden="false" localSheetId="4" name="_xlnm.Print_Titles" vbProcedure="false">'Kiln Shelves'!$1:$1</definedName>
    <definedName function="false" hidden="true" localSheetId="4" name="_xlnm._FilterDatabase" vbProcedure="false">'Kiln Shelves'!$A$1:$G$50</definedName>
    <definedName function="false" hidden="false" localSheetId="0" name="_xlnm.Print_Titles" vbProcedure="false">Kilns!$1:$1</definedName>
    <definedName function="false" hidden="true" localSheetId="0" name="_xlnm._FilterDatabase" vbProcedure="false">Kilns!$A$1:$I$199</definedName>
    <definedName function="false" hidden="false" localSheetId="6" name="_xlnm.Print_Titles" vbProcedure="false">'Solid State Relays'!$1:$1</definedName>
    <definedName function="false" hidden="true" localSheetId="6" name="_xlnm._FilterDatabase" vbProcedure="false">'Solid State Relays'!$A$1:$H$10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<sst xmlns="http://schemas.openxmlformats.org/spreadsheetml/2006/main" count="1644" uniqueCount="646">
  <si>
    <t xml:space="preserve">Category</t>
  </si>
  <si>
    <t xml:space="preserve">Model #</t>
  </si>
  <si>
    <t xml:space="preserve">Base Controller</t>
  </si>
  <si>
    <t xml:space="preserve">Base Price</t>
  </si>
  <si>
    <t xml:space="preserve">Upgrade to KilnStar</t>
  </si>
  <si>
    <t xml:space="preserve">Upgrade to Genesis</t>
  </si>
  <si>
    <t xml:space="preserve">Base Distributor $</t>
  </si>
  <si>
    <t xml:space="preserve">KilnStar Upgrade D$</t>
  </si>
  <si>
    <t xml:space="preserve">Genesis Upgrade D$</t>
  </si>
  <si>
    <t xml:space="preserve">HotBox Kilns (120V)</t>
  </si>
  <si>
    <t xml:space="preserve">HB64E</t>
  </si>
  <si>
    <t xml:space="preserve">Spark</t>
  </si>
  <si>
    <t xml:space="preserve">HotboxE</t>
  </si>
  <si>
    <t xml:space="preserve">HB84E</t>
  </si>
  <si>
    <t xml:space="preserve">HB86E</t>
  </si>
  <si>
    <t xml:space="preserve">KilnStar</t>
  </si>
  <si>
    <t xml:space="preserve">HB86 Vitrigraph</t>
  </si>
  <si>
    <t xml:space="preserve">120 Volt Kilns</t>
  </si>
  <si>
    <t xml:space="preserve">HB89E</t>
  </si>
  <si>
    <t xml:space="preserve">Doll/Test</t>
  </si>
  <si>
    <t xml:space="preserve">Traveler</t>
  </si>
  <si>
    <t xml:space="preserve">126 Lite</t>
  </si>
  <si>
    <t xml:space="preserve">129E</t>
  </si>
  <si>
    <t xml:space="preserve">1214-120E</t>
  </si>
  <si>
    <t xml:space="preserve">1214-120HE</t>
  </si>
  <si>
    <t xml:space="preserve">Champ</t>
  </si>
  <si>
    <t xml:space="preserve">Champ XL</t>
  </si>
  <si>
    <t xml:space="preserve">Square 146GFE</t>
  </si>
  <si>
    <t xml:space="preserve">Square 146GFECS</t>
  </si>
  <si>
    <t xml:space="preserve">Square 146GFETLC</t>
  </si>
  <si>
    <t xml:space="preserve">146 Slider CS</t>
  </si>
  <si>
    <t xml:space="preserve">Quatro 16</t>
  </si>
  <si>
    <t xml:space="preserve">Quatro 16CS</t>
  </si>
  <si>
    <t xml:space="preserve">Quatro 16TLC</t>
  </si>
  <si>
    <t xml:space="preserve">Square 186GFE</t>
  </si>
  <si>
    <t xml:space="preserve">Square 186GFECS</t>
  </si>
  <si>
    <t xml:space="preserve">Square 186GFETLC</t>
  </si>
  <si>
    <t xml:space="preserve">Studio Front Loading Kilns</t>
  </si>
  <si>
    <t xml:space="preserve">129FLE</t>
  </si>
  <si>
    <t xml:space="preserve">139FLE</t>
  </si>
  <si>
    <t xml:space="preserve">1214FLE</t>
  </si>
  <si>
    <t xml:space="preserve">149FLE</t>
  </si>
  <si>
    <t xml:space="preserve">1414FLE</t>
  </si>
  <si>
    <t xml:space="preserve">1818FLE</t>
  </si>
  <si>
    <t xml:space="preserve">1823FLE</t>
  </si>
  <si>
    <t xml:space="preserve">Small High Fire Test Kilns (240/208V)</t>
  </si>
  <si>
    <t xml:space="preserve">1214HE</t>
  </si>
  <si>
    <t xml:space="preserve">1414HE</t>
  </si>
  <si>
    <t xml:space="preserve">Sq169HE w Short Stand</t>
  </si>
  <si>
    <t xml:space="preserve">14" Wide Square Kilns (240/208V)</t>
  </si>
  <si>
    <t xml:space="preserve">Square 149GFE</t>
  </si>
  <si>
    <t xml:space="preserve">Square 149GFECS</t>
  </si>
  <si>
    <t xml:space="preserve">Square 149GFETLC</t>
  </si>
  <si>
    <t xml:space="preserve">149 Slider CS</t>
  </si>
  <si>
    <t xml:space="preserve">Square 1414GFE</t>
  </si>
  <si>
    <t xml:space="preserve">Square 1414GFETLC</t>
  </si>
  <si>
    <t xml:space="preserve">18" Wide Square Kilns (240/208V)</t>
  </si>
  <si>
    <t xml:space="preserve">Square 189GFE</t>
  </si>
  <si>
    <t xml:space="preserve">Square 189GFETLC</t>
  </si>
  <si>
    <t xml:space="preserve">189 Slider CS</t>
  </si>
  <si>
    <t xml:space="preserve">Square 1814GFE</t>
  </si>
  <si>
    <t xml:space="preserve">Square 1814GFETLC</t>
  </si>
  <si>
    <t xml:space="preserve">18" Wide Stackable Kilns (240/208V)</t>
  </si>
  <si>
    <t xml:space="preserve">1814HE</t>
  </si>
  <si>
    <t xml:space="preserve">1818E</t>
  </si>
  <si>
    <t xml:space="preserve">1818HE</t>
  </si>
  <si>
    <t xml:space="preserve">1823E</t>
  </si>
  <si>
    <t xml:space="preserve">1823HE</t>
  </si>
  <si>
    <t xml:space="preserve">1827E</t>
  </si>
  <si>
    <t xml:space="preserve">1827HE</t>
  </si>
  <si>
    <t xml:space="preserve">23" Wide Stackable Kilns (240/208V)</t>
  </si>
  <si>
    <t xml:space="preserve">2318E</t>
  </si>
  <si>
    <t xml:space="preserve">2318HE</t>
  </si>
  <si>
    <t xml:space="preserve">2323HE</t>
  </si>
  <si>
    <t xml:space="preserve">2327E</t>
  </si>
  <si>
    <t xml:space="preserve">2327HE</t>
  </si>
  <si>
    <t xml:space="preserve">2331HE</t>
  </si>
  <si>
    <t xml:space="preserve">20" &amp; 25" Wide Square Kilns (240/208V)</t>
  </si>
  <si>
    <t xml:space="preserve">GF2E</t>
  </si>
  <si>
    <t xml:space="preserve">GF2ETLC</t>
  </si>
  <si>
    <t xml:space="preserve">GF214E</t>
  </si>
  <si>
    <t xml:space="preserve">GF214ETLC</t>
  </si>
  <si>
    <t xml:space="preserve">GF3E</t>
  </si>
  <si>
    <t xml:space="preserve">GF3ETLC</t>
  </si>
  <si>
    <t xml:space="preserve">GF314E</t>
  </si>
  <si>
    <t xml:space="preserve">GF314ETLC</t>
  </si>
  <si>
    <t xml:space="preserve">314E SLIDER CS</t>
  </si>
  <si>
    <t xml:space="preserve">28" Wide Stackable Kilns (240/208V)</t>
  </si>
  <si>
    <t xml:space="preserve">2818HE</t>
  </si>
  <si>
    <t xml:space="preserve">2823HE</t>
  </si>
  <si>
    <t xml:space="preserve">2827E</t>
  </si>
  <si>
    <t xml:space="preserve">2827HE</t>
  </si>
  <si>
    <t xml:space="preserve">2831HE</t>
  </si>
  <si>
    <t xml:space="preserve">29" Wide Square Kilns (240/208V)</t>
  </si>
  <si>
    <t xml:space="preserve">GF5E</t>
  </si>
  <si>
    <t xml:space="preserve">GF5ETLC</t>
  </si>
  <si>
    <t xml:space="preserve">GF514E</t>
  </si>
  <si>
    <t xml:space="preserve">GF514ETLC</t>
  </si>
  <si>
    <t xml:space="preserve">514 SLIDER CS</t>
  </si>
  <si>
    <t xml:space="preserve">Oval Kilns (240/208V)</t>
  </si>
  <si>
    <t xml:space="preserve">209GFE</t>
  </si>
  <si>
    <t xml:space="preserve">2014GFE</t>
  </si>
  <si>
    <t xml:space="preserve">2018HE</t>
  </si>
  <si>
    <t xml:space="preserve">2023HE</t>
  </si>
  <si>
    <t xml:space="preserve">2027HE</t>
  </si>
  <si>
    <t xml:space="preserve">259GFE</t>
  </si>
  <si>
    <t xml:space="preserve">2514GFE</t>
  </si>
  <si>
    <t xml:space="preserve">2518HE</t>
  </si>
  <si>
    <t xml:space="preserve">2523HE</t>
  </si>
  <si>
    <t xml:space="preserve">2527HE</t>
  </si>
  <si>
    <t xml:space="preserve">2531HE</t>
  </si>
  <si>
    <t xml:space="preserve">309GFE</t>
  </si>
  <si>
    <t xml:space="preserve">3014GFE</t>
  </si>
  <si>
    <t xml:space="preserve">3018HE</t>
  </si>
  <si>
    <t xml:space="preserve">3023HE</t>
  </si>
  <si>
    <t xml:space="preserve">3027HE</t>
  </si>
  <si>
    <t xml:space="preserve">3031HE</t>
  </si>
  <si>
    <t xml:space="preserve">Electric Raku &amp; TopHat Kilns</t>
  </si>
  <si>
    <t xml:space="preserve">1214 Raku E</t>
  </si>
  <si>
    <t xml:space="preserve">1823 Raku E</t>
  </si>
  <si>
    <t xml:space="preserve">TopHat 189E</t>
  </si>
  <si>
    <t xml:space="preserve">TopHat 239E</t>
  </si>
  <si>
    <t xml:space="preserve">TopHat 2314E</t>
  </si>
  <si>
    <t xml:space="preserve">TopHat 289E</t>
  </si>
  <si>
    <t xml:space="preserve">TopHat 2814E</t>
  </si>
  <si>
    <t xml:space="preserve">TopHat 2827E</t>
  </si>
  <si>
    <t xml:space="preserve">Medallion Artist Series (MAS)</t>
  </si>
  <si>
    <t xml:space="preserve">MAS 1818HE</t>
  </si>
  <si>
    <t xml:space="preserve">MAS 1823HE</t>
  </si>
  <si>
    <t xml:space="preserve">MAS 2323HE</t>
  </si>
  <si>
    <t xml:space="preserve">MAS 2327HE</t>
  </si>
  <si>
    <t xml:space="preserve">MAS 2823HE</t>
  </si>
  <si>
    <t xml:space="preserve">MAS 2827HE</t>
  </si>
  <si>
    <t xml:space="preserve">Freedom Series</t>
  </si>
  <si>
    <t xml:space="preserve">F1414HE Pkg.</t>
  </si>
  <si>
    <t xml:space="preserve">F1823HE Pkg.</t>
  </si>
  <si>
    <t xml:space="preserve">F2323HE Pkg.</t>
  </si>
  <si>
    <t xml:space="preserve">F2327HE Pkg.</t>
  </si>
  <si>
    <t xml:space="preserve">F2823HE Pkg.</t>
  </si>
  <si>
    <t xml:space="preserve">F2827HE Pkg.</t>
  </si>
  <si>
    <t xml:space="preserve">F2527HE Pkg.</t>
  </si>
  <si>
    <t xml:space="preserve">Dual Media Kilns</t>
  </si>
  <si>
    <t xml:space="preserve">DM1818HE</t>
  </si>
  <si>
    <t xml:space="preserve">DM1823HE</t>
  </si>
  <si>
    <t xml:space="preserve">DM2318HE</t>
  </si>
  <si>
    <t xml:space="preserve">DM2323HE</t>
  </si>
  <si>
    <t xml:space="preserve">DM2327HE</t>
  </si>
  <si>
    <t xml:space="preserve">DM2818HE</t>
  </si>
  <si>
    <t xml:space="preserve">DM2823HE</t>
  </si>
  <si>
    <t xml:space="preserve">DM2827HE</t>
  </si>
  <si>
    <t xml:space="preserve">DM2023HE</t>
  </si>
  <si>
    <t xml:space="preserve">DM2523HE</t>
  </si>
  <si>
    <t xml:space="preserve">DM3018HE</t>
  </si>
  <si>
    <t xml:space="preserve">DM3023HE</t>
  </si>
  <si>
    <t xml:space="preserve">Large Capacity Kilns</t>
  </si>
  <si>
    <t xml:space="preserve">FL4.5E</t>
  </si>
  <si>
    <t xml:space="preserve">FL5.5E</t>
  </si>
  <si>
    <t xml:space="preserve">FL8E</t>
  </si>
  <si>
    <t xml:space="preserve">GF8E</t>
  </si>
  <si>
    <t xml:space="preserve">GF8E CS</t>
  </si>
  <si>
    <t xml:space="preserve">GF8ETLC</t>
  </si>
  <si>
    <t xml:space="preserve">FL10E</t>
  </si>
  <si>
    <t xml:space="preserve">FL10E Car</t>
  </si>
  <si>
    <t xml:space="preserve">GF10E</t>
  </si>
  <si>
    <t xml:space="preserve">GF10E CS</t>
  </si>
  <si>
    <t xml:space="preserve">GF10ETLC</t>
  </si>
  <si>
    <t xml:space="preserve">FL12E</t>
  </si>
  <si>
    <t xml:space="preserve">FL12E Car</t>
  </si>
  <si>
    <t xml:space="preserve">GF12E</t>
  </si>
  <si>
    <t xml:space="preserve">GE12E CS</t>
  </si>
  <si>
    <t xml:space="preserve">GF12ETLC</t>
  </si>
  <si>
    <t xml:space="preserve">GF15E</t>
  </si>
  <si>
    <t xml:space="preserve">GF15E CS</t>
  </si>
  <si>
    <t xml:space="preserve">GF15ETLC</t>
  </si>
  <si>
    <t xml:space="preserve">FL17E</t>
  </si>
  <si>
    <t xml:space="preserve">FL17E Car</t>
  </si>
  <si>
    <t xml:space="preserve">GF17E</t>
  </si>
  <si>
    <t xml:space="preserve">GF17E CS</t>
  </si>
  <si>
    <t xml:space="preserve">GF17ETLC</t>
  </si>
  <si>
    <t xml:space="preserve">FL20E</t>
  </si>
  <si>
    <t xml:space="preserve">FL20E Car</t>
  </si>
  <si>
    <t xml:space="preserve">TL20E</t>
  </si>
  <si>
    <t xml:space="preserve">FL24E</t>
  </si>
  <si>
    <t xml:space="preserve">FL24E Car</t>
  </si>
  <si>
    <t xml:space="preserve">TL24E</t>
  </si>
  <si>
    <t xml:space="preserve">FL27E</t>
  </si>
  <si>
    <t xml:space="preserve">FL27E Car</t>
  </si>
  <si>
    <t xml:space="preserve">TL4828E</t>
  </si>
  <si>
    <t xml:space="preserve">FL31E</t>
  </si>
  <si>
    <t xml:space="preserve">FL31E Car</t>
  </si>
  <si>
    <t xml:space="preserve">GF32E BELL</t>
  </si>
  <si>
    <t xml:space="preserve">TL4832E</t>
  </si>
  <si>
    <t xml:space="preserve">TL5428E</t>
  </si>
  <si>
    <t xml:space="preserve">FL36E</t>
  </si>
  <si>
    <t xml:space="preserve">FL36E Car</t>
  </si>
  <si>
    <t xml:space="preserve">TL5432E</t>
  </si>
  <si>
    <t xml:space="preserve">FL42E</t>
  </si>
  <si>
    <t xml:space="preserve">FL42E Car</t>
  </si>
  <si>
    <t xml:space="preserve">Large Capacity Front Loading Kilns</t>
  </si>
  <si>
    <t xml:space="preserve">FL53E</t>
  </si>
  <si>
    <t xml:space="preserve">FL53E Car</t>
  </si>
  <si>
    <t xml:space="preserve">FL64E</t>
  </si>
  <si>
    <t xml:space="preserve">FL64E Car</t>
  </si>
  <si>
    <t xml:space="preserve">UpDraft Gas Kilns — Raku &amp; Torchbearer</t>
  </si>
  <si>
    <t xml:space="preserve">18 Raku</t>
  </si>
  <si>
    <t xml:space="preserve">Burners w/ Ignition System</t>
  </si>
  <si>
    <t xml:space="preserve">23 Raku</t>
  </si>
  <si>
    <t xml:space="preserve">28 Raku</t>
  </si>
  <si>
    <t xml:space="preserve">1827G</t>
  </si>
  <si>
    <t xml:space="preserve">2327G</t>
  </si>
  <si>
    <t xml:space="preserve">2331G</t>
  </si>
  <si>
    <t xml:space="preserve">2827G</t>
  </si>
  <si>
    <t xml:space="preserve">2831G</t>
  </si>
  <si>
    <t xml:space="preserve">DownDraft (DD) Gas Kilns</t>
  </si>
  <si>
    <t xml:space="preserve">DD9</t>
  </si>
  <si>
    <t xml:space="preserve">DD9 CAR</t>
  </si>
  <si>
    <t xml:space="preserve">DD12</t>
  </si>
  <si>
    <t xml:space="preserve">DD12 CAR</t>
  </si>
  <si>
    <t xml:space="preserve">DD14</t>
  </si>
  <si>
    <t xml:space="preserve">DD14 CAR</t>
  </si>
  <si>
    <t xml:space="preserve">DD17</t>
  </si>
  <si>
    <t xml:space="preserve">DD17 CAR</t>
  </si>
  <si>
    <t xml:space="preserve">DD20</t>
  </si>
  <si>
    <t xml:space="preserve">DD20 CAR</t>
  </si>
  <si>
    <t xml:space="preserve">DD24</t>
  </si>
  <si>
    <t xml:space="preserve">DD24 CAR</t>
  </si>
  <si>
    <t xml:space="preserve">DD30</t>
  </si>
  <si>
    <t xml:space="preserve">DD30 CAR</t>
  </si>
  <si>
    <t xml:space="preserve">DD40</t>
  </si>
  <si>
    <t xml:space="preserve">DD40 CAR</t>
  </si>
  <si>
    <t xml:space="preserve">Genesis</t>
  </si>
  <si>
    <t xml:space="preserve">Burners w/ Ignition</t>
  </si>
  <si>
    <t xml:space="preserve">Spark D$</t>
  </si>
  <si>
    <t xml:space="preserve">KilnStar D$</t>
  </si>
  <si>
    <t xml:space="preserve">Genesis D$</t>
  </si>
  <si>
    <t xml:space="preserve">Burners D$</t>
  </si>
  <si>
    <t xml:space="preserve">Series</t>
  </si>
  <si>
    <t xml:space="preserve">Fits Model(s)</t>
  </si>
  <si>
    <t xml:space="preserve">Kit Contents</t>
  </si>
  <si>
    <t xml:space="preserve">Ship Wt. (lbs.)</t>
  </si>
  <si>
    <t xml:space="preserve">List Price</t>
  </si>
  <si>
    <t xml:space="preserve">Distributor $</t>
  </si>
  <si>
    <t xml:space="preserve">HB64E, HOTBOX E</t>
  </si>
  <si>
    <t xml:space="preserve">2-5.5" x 5.5" square shelves, 4 ea-1/2, 1, 2 inch small posts, l lb. bag of kiln wash</t>
  </si>
  <si>
    <t xml:space="preserve">HB84E, HB86E, HB89E</t>
  </si>
  <si>
    <t xml:space="preserve">2-6.5" x 6.5" square shelves, 4 ea-1/2, 1, 2 inch small posts, 1 sq. ft. of ceramic paper, 1 lb. bag of kiln wash</t>
  </si>
  <si>
    <t xml:space="preserve">DOLL E/TEST E</t>
  </si>
  <si>
    <t xml:space="preserve">2-10" x 6" oval shelves, 4 ea-1/2, 1, 2 inch small posts, l lb. bag of kiln wash</t>
  </si>
  <si>
    <t xml:space="preserve">129E, 1214-120E, 1214-120HE</t>
  </si>
  <si>
    <t xml:space="preserve">2-10" x 10" round shelves, 3 ea-1-6 inch small posts, l lb. bag of kiln wash</t>
  </si>
  <si>
    <t xml:space="preserve">TRAVELER</t>
  </si>
  <si>
    <t xml:space="preserve">3-10" x 10" square shelves, 4 ea-1-6 inch small posts, l lb. bag of kiln wash, 3 sq. ft. of ceramic paper</t>
  </si>
  <si>
    <t xml:space="preserve">2-10" x 10" square shelves, 4 ea-1/2, 1, 2 inch small posts, 1 sq. ft. of ceramic paper</t>
  </si>
  <si>
    <t xml:space="preserve">14" Square</t>
  </si>
  <si>
    <t xml:space="preserve">2-13" x 13" square shelves, 4 ea-1/2, 1, 2 inch small posts, 2 sq. ft. of ceramic paper</t>
  </si>
  <si>
    <t xml:space="preserve">16" Square</t>
  </si>
  <si>
    <t xml:space="preserve">2-15" x 15" square shelves, 4 ea-1/2, 1, 2- inch small posts, 2 sq. ft. of ceramic paper</t>
  </si>
  <si>
    <t xml:space="preserve">18" Square</t>
  </si>
  <si>
    <t xml:space="preserve">2-16" x 16" square shelves, 4 ea-1/2, 1, 2- inch small posts, 2 sq. ft. of ceramic paper</t>
  </si>
  <si>
    <t xml:space="preserve">129FLE, 139FLE</t>
  </si>
  <si>
    <t xml:space="preserve">2 ea. - 9" x  7" rectangle shelves, 4 ea. - 1, 3, 5 inch small square posts, l lb. of kiln wash</t>
  </si>
  <si>
    <t xml:space="preserve">2 ea. - 9" x 12" rectangle shelves, 4 ea. - 1, 3, 5 inch small square posts, l lb. of kiln wash</t>
  </si>
  <si>
    <t xml:space="preserve">2 ea. -12" x 7" rectangle shelves, 4 ea. - 1, 3, 5 inch small square posts, l lb. of kiln wash</t>
  </si>
  <si>
    <t xml:space="preserve">2 ea. - 12" x 11" rectangle shelves, 4 ea. - 1, 3, 5 inch small square posts, l lb. of kiln wash</t>
  </si>
  <si>
    <t xml:space="preserve">2 ea. - 16" x 20" rectangle shelves, 4 ea. - 1-6 inch small square posts, l lb. of kiln wash</t>
  </si>
  <si>
    <t xml:space="preserve">Small High Fire Test Kilns</t>
  </si>
  <si>
    <t xml:space="preserve">2 ea. - 10" x 10" round shelves, 3 ea. - 1-6 inch small posts, 1 lb. bag of kiln wash</t>
  </si>
  <si>
    <t xml:space="preserve">2 ea. - 13" x 13" round shelves, 3 ea. - 1-6 inch small posts, 1 lb. bag of kiln wash</t>
  </si>
  <si>
    <t xml:space="preserve">Sq169HE</t>
  </si>
  <si>
    <t xml:space="preserve">2 ea. - 15" x 15" square shelves, 4 ea. - 1, 3, 5 inch small posts, 1 lb. bag of kiln wash</t>
  </si>
  <si>
    <t xml:space="preserve">14" Wide Square Kilns</t>
  </si>
  <si>
    <t xml:space="preserve">2 ea. - 13" x 13" square shelves, 4 ea. - 1/2, 1, 2 inch small square posts, 2 sq. ft. of ceramic paper</t>
  </si>
  <si>
    <t xml:space="preserve">18" Wide Kilns</t>
  </si>
  <si>
    <t xml:space="preserve">2 ea. - 16" x 16" square shelves, 4 ea. - 1/2, 1, 2 inch small square posts, 3 sq. ft. of ceramic paper</t>
  </si>
  <si>
    <t xml:space="preserve">18" Wide Stackable</t>
  </si>
  <si>
    <t xml:space="preserve">1 ea. - 15.5" x 16.5" x 1/2" octagon shelf, 4 ea. - 15 3/4" x 8 3/8" x 1/2" half shelves, 6 ea. -4, 6, 8 inch small posts, 1 lb. of kiln wash</t>
  </si>
  <si>
    <t xml:space="preserve">23" Wide Stackable Kilns</t>
  </si>
  <si>
    <t xml:space="preserve">23"</t>
  </si>
  <si>
    <t xml:space="preserve">1 ea.- 21" x 21" round  shelf, 4 ea. - 21" x 10.5" half shelves, 6 ea. -4, 6, 8, 10 inch large posts, 1 lb. bag of kiln wash</t>
  </si>
  <si>
    <t xml:space="preserve">23H"</t>
  </si>
  <si>
    <t xml:space="preserve">1 ea. - 21" x 21" x 1" round  shelf, 4 ea. - 21" x 10.5" x 1" half shelves, 6 ea. -4, 6, 8, 10 inch large posts, 1 lb. bag of kiln wash</t>
  </si>
  <si>
    <t xml:space="preserve">20" &amp; 25" Wide Square Kilns</t>
  </si>
  <si>
    <t xml:space="preserve">GF2s</t>
  </si>
  <si>
    <t xml:space="preserve">2 ea. - 18" x 18" square shelves, 4 ea. - 1, 3, &amp; 5 inch large posts, 3 sq. ft. of ceramic paper</t>
  </si>
  <si>
    <t xml:space="preserve">GF3s</t>
  </si>
  <si>
    <t xml:space="preserve">2 ea. - 23" x 23" square shelves,  4 ea. - 1, 3, &amp; 5 inch large posts, 5 sq. ft. of ceramic paper</t>
  </si>
  <si>
    <t xml:space="preserve">28" Wide Stackable Kilns</t>
  </si>
  <si>
    <t xml:space="preserve">28"</t>
  </si>
  <si>
    <t xml:space="preserve">6 ea. - 26" x 13" half round shelves, 6 ea - 4, 6, 8, 10 inch large posts, 1 ea. - 1 lb. bag of kiln wash</t>
  </si>
  <si>
    <t xml:space="preserve">28H"</t>
  </si>
  <si>
    <t xml:space="preserve">6 ea. - 26" x 13" x 1" half round shelves, 6 ea - 4, 6, 8, 10 inch large posts, 1 ea. - 1 lb. bag of kiln wash</t>
  </si>
  <si>
    <t xml:space="preserve">29" Wide Square Kilns</t>
  </si>
  <si>
    <t xml:space="preserve">GF5s</t>
  </si>
  <si>
    <t xml:space="preserve">2 ea. - 27" x 27" square shelves, 4 ea. - 1, 3, 5 inch small posts, 8 sq. ft. of ceramic paper</t>
  </si>
  <si>
    <t xml:space="preserve">Oval Kilns</t>
  </si>
  <si>
    <t xml:space="preserve">209GFE &amp; 2014GFE</t>
  </si>
  <si>
    <t xml:space="preserve">2 ea. - 20 oval full shelves - 15.5" x 27" x 1",  10 ea. - 2, 5, 7  inch large posts, 5 sq. ft. of ceramic paper</t>
  </si>
  <si>
    <t xml:space="preserve">2018HE, 2023HE, 2027HE</t>
  </si>
  <si>
    <t xml:space="preserve">3 ea. - 12" x 16" x 5/8" rectangle shelves, 6 ea. - 15.5" x 7 3/4" half shelves, 10 ea. - 4, 6, 8, 10 inch large posts, 1 lb. bag of kiln wash</t>
  </si>
  <si>
    <t xml:space="preserve">259GFE &amp; 2514GFE</t>
  </si>
  <si>
    <t xml:space="preserve">2 ea. - 25 oval full shelves - 21" x 32" x 1",  10 ea. - 2, 5, 7  inch large posts, 7 sq. ft. of ceramic paper</t>
  </si>
  <si>
    <t xml:space="preserve">2518HE, 2523HE, 2527HE, 2531HE</t>
  </si>
  <si>
    <t xml:space="preserve">3 ea. - 22" x 11" x 1" rectangle shelves, 6 ea. - 21" x 10.5" x 1" half shelves, 10 ea. - 4, 6, 8, 10 inch large posts, 1 lb. bag of kiln wash</t>
  </si>
  <si>
    <t xml:space="preserve">309GFE &amp; 3014GFE</t>
  </si>
  <si>
    <t xml:space="preserve">2 ea. - 30 oval full shelves - 26" x 39" x 1",  10 ea. - 2, 5, 7  inch large posts, 10 sq. ft. of ceramic paper</t>
  </si>
  <si>
    <t xml:space="preserve">3018HE, 3023HE, 3027HE, 3031HE</t>
  </si>
  <si>
    <t xml:space="preserve">3 ea. - 26" x 13" x 1" rectangle shelves, 6 ea. - 26" x 13" x 1" half shelves, 10 ea. - 4, 6, 8, 10 inch large posts, 1 lb. bag of kiln wash</t>
  </si>
  <si>
    <t xml:space="preserve">2 full shelves 10" round, 3 ea. - 1 &amp; 6 inch small posts, 1 lb. bag of kiln wash, raku tongs w teeth, and heavy duty gloves</t>
  </si>
  <si>
    <t xml:space="preserve">1823 E Raku &amp; TopHat 189E</t>
  </si>
  <si>
    <t xml:space="preserve">2 full shelves 15.5" x 16.5"octagon, 3 ea. - 1 &amp; 6 inch small posts, 1 lb. bag of kiln wash, raku tongs w teeth, and heavy duty gloves</t>
  </si>
  <si>
    <t xml:space="preserve">TopHat 239 &amp; 2314E</t>
  </si>
  <si>
    <t xml:space="preserve">2 full shelves 21" x 1" round, 3 ea. - 1 &amp; 6 inch large posts, 1 lb. bag of kiln wash, raku tongs w teeth, and heavy duty gloves</t>
  </si>
  <si>
    <t xml:space="preserve">TopHat 289E, 2814E, &amp; 2827E</t>
  </si>
  <si>
    <t xml:space="preserve">4 half shelves - 26" x 13" x 1" half round, 6 ea. - 1 &amp; 6 inch large posts, l lb. bag of kiln wash, raku tongs w teeth, and heavy duty gloves</t>
  </si>
  <si>
    <t xml:space="preserve">Medallion Artist Series</t>
  </si>
  <si>
    <t xml:space="preserve">18/18H"</t>
  </si>
  <si>
    <t xml:space="preserve">20H Ovals</t>
  </si>
  <si>
    <t xml:space="preserve">1 ea. - 20 oval full shelf 15.5" x 27" x 1", 2  ea. - 12" x 16" x 5/8" rectangle shelves, 4 ea. - 15.5" x 7 3/4" half shelves, 10 ea. - 4, 6, 8, 10 inch large posts, 1 lb. bag of kiln wash</t>
  </si>
  <si>
    <t xml:space="preserve">25H Ovals</t>
  </si>
  <si>
    <t xml:space="preserve">1 ea. - 25 oval full shelf 21" x 32" x 1", 2 ea. - 22" x 11" x 1" rectangle shelves, 4 ea. - 21" x 10.5" x 1" half shelves, 10 ea. - 4, 6, 8, 10 inch large posts, 1 lb. bag of kiln wash</t>
  </si>
  <si>
    <t xml:space="preserve">30H Ovals</t>
  </si>
  <si>
    <t xml:space="preserve">1 ea. - 30 oval full shelf 26" x 39" x 1", 2 ea. - 26" x 13" x 1" rectangle shelves, 4 ea. - 26" x 13" x 1" half shelves, 10 ea. - 4, 6, 8, 10 inch large posts, 1 lb. bag of kiln wash</t>
  </si>
  <si>
    <t xml:space="preserve">4 ea,- 16" x 16" x 1" square shelves, 4 ea. - 2, 5, 7, 9 inch large posts, 1 lb. bag of kiln wash</t>
  </si>
  <si>
    <t xml:space="preserve">4 ea,- 18" x 18" x 1" square shelves, 4 ea. - 2, 5, 7, 9 inch large posts, 1 lb. bag of kiln wash</t>
  </si>
  <si>
    <t xml:space="preserve">FL8E, FL10E, FL12E</t>
  </si>
  <si>
    <t xml:space="preserve">8 ea. - 11" x 22" x 1" rectangle shelves, 8 ea. -  4, 6, 8, 10 inch large posts, 5 lb. bag of kiln wash</t>
  </si>
  <si>
    <t xml:space="preserve">GF8Es, GF10s</t>
  </si>
  <si>
    <t xml:space="preserve">1 ea. - full shelf smooth ceramic fiberboard 36" x 48" x 1", 10 sq. ft. of ceramic paper, 10 ea. - 2 inch large posts. Shelf can be cut to fit and extra pieces shipped with kiln.  Please specify when ordering.</t>
  </si>
  <si>
    <t xml:space="preserve">GF12s</t>
  </si>
  <si>
    <t xml:space="preserve">2 ea. - full shelf smooth ceramic fiberboard 36" x 48" x 1", 12 sq. ft. of ceramic paper, 20 ea. - 2 inch large posts. Shelf can be cut to fit and extra pieces shipped with kiln.  Please specify when ordering.</t>
  </si>
  <si>
    <t xml:space="preserve">GF15s, GF17s</t>
  </si>
  <si>
    <t xml:space="preserve">2 ea. - full shelf smooth ceramic fiberboard 36" x 48" x 1", 20 sq. ft. of ceramic paper, 20 ea. - 2 inch large posts. Shelf can be cut to fit and extra pieces shipped with kiln.  Please specify when ordering.</t>
  </si>
  <si>
    <t xml:space="preserve">FL17E, FL20E</t>
  </si>
  <si>
    <t xml:space="preserve">8 ea. - 13" x 26" x 1" rectangle shelves, 8 ea. -  4, 6, 8, 10 inch large posts, 5 lb. bag of kiln wash</t>
  </si>
  <si>
    <t xml:space="preserve">12 ea. -13" x  26" x 1" rectangle shelves, 12 ea. - 4, 6, 8, 10 inch large posts, 5 lb.bag of kiln wash</t>
  </si>
  <si>
    <t xml:space="preserve">16 ea,- 16" x 16" x 1" square shelves, 16 ea. - 4, 6, 8, 10 inch large posts, 5 lb. bag of kiln wash</t>
  </si>
  <si>
    <t xml:space="preserve">24 ea. -11" x  20" x 1" rectangle shelves, 24 ea. - 4, 6, 8, 10 inch large posts, 5 lb.bag of kiln wash</t>
  </si>
  <si>
    <t xml:space="preserve">FL27E, FL31E</t>
  </si>
  <si>
    <t xml:space="preserve">16 ea,- 17" x 17" x 1" square shelves, 16 ea. - 4, 6, 8, 10 inch large posts, 5 lb. bag of kiln wash</t>
  </si>
  <si>
    <t xml:space="preserve">TL4828E, TL4832E</t>
  </si>
  <si>
    <t xml:space="preserve">24 ea. -11" x  22" x 1" rectangle shelves, 24 ea. - 4, 6, 8, 10 inch large posts, 5 lb.bag of kiln wash</t>
  </si>
  <si>
    <t xml:space="preserve">GF32E  Bell</t>
  </si>
  <si>
    <t xml:space="preserve">2 ea. - full shelf smooth ceramic fiberboard 36" x 48" x 1", 32 sq. ft. of ceramic paper, 20 ea. - 2 inch large posts. Shelf can be cut to fit and extra pieces shipped with kiln.  Please specify when ordering.</t>
  </si>
  <si>
    <t xml:space="preserve">TL5428E, TL5432E</t>
  </si>
  <si>
    <t xml:space="preserve">24 ea. -11" x  26" x 1" rectangle shelves, 24 ea. - 4, 6, 8, 10 inch large posts, 5 lb.bag of kiln wash</t>
  </si>
  <si>
    <t xml:space="preserve">16 ea,- 18" x 18" x 1" square shelves, 16 ea. - 4, 6, 8, 10 inch large posts, 5 lb. bag of kiln wash</t>
  </si>
  <si>
    <t xml:space="preserve">24 ea. - 11" x 22" x 1" rectangle shelves, 24 ea. -  4, 6, 8, 10 inch large posts, 5 lb. bag of kiln wash</t>
  </si>
  <si>
    <t xml:space="preserve">32 ea. - 11" x 22" x 1" rectangle shelves, 32 ea. -  4, 6, 8, 10 inch large posts, 5 lb. bag of kiln wash</t>
  </si>
  <si>
    <t xml:space="preserve">16 ea,- 23" x 23" x 1" square shelves, 16 ea. - 4, 6, 8, 10 inch large posts, 5 lb. bag of kiln wash</t>
  </si>
  <si>
    <t xml:space="preserve">UpDraft Gas Kilns (Raku &amp; Torchbearer)</t>
  </si>
  <si>
    <t xml:space="preserve">1 ea. - 13" x 13" round shelf, 4 ea. - 13" x 6.5" half round shelves, 6 ea. - 3, 5, 6, 8 inch small posts, l lb. bag of kiln wash,heavy duty gloves, raku tongs</t>
  </si>
  <si>
    <t xml:space="preserve">18 Torchbearer</t>
  </si>
  <si>
    <t xml:space="preserve">1 ea. - 13" x 13" round shelf, 4 ea. - 13" x 7" half round shelves, 6 ea. - 3, 5, 6, 8 inch small posts, l lb. bag of kiln wash</t>
  </si>
  <si>
    <t xml:space="preserve">6 ea. - 19" x 9" x 1" half round shelves, 6 ea.  - 3, 6, 9, 12 inch large posts, l lb. bag of kiln wash, heavy duty gloves, raku tongs</t>
  </si>
  <si>
    <t xml:space="preserve">23 Torchbearer</t>
  </si>
  <si>
    <t xml:space="preserve">6 ea. - 19" x 9" x 1" half round shelves, 6 ea.  - 3, 6, 9, 12 inch large posts, l lb. bag of kiln wash</t>
  </si>
  <si>
    <t xml:space="preserve">6 ea. - 24" x 12" x 1" half round shelves, 6 ea.  - 3, 6, 9, 12 inch large posts, l lb. bag of kiln wash, heavy duty gloves, raku tongs</t>
  </si>
  <si>
    <t xml:space="preserve">28 Torchbearer</t>
  </si>
  <si>
    <t xml:space="preserve">6 ea. - 24" x 12" x 1" half round shelves, 6 ea.  - 3, 6, 9, 12 inch large posts, l lb. bag of kiln wash</t>
  </si>
  <si>
    <t xml:space="preserve">8 ea. - 11" x 22" x 1" shelves, 8 ea. - 3, 6, 9, 12 inch large posts, 5 lb. bag of kiln wash</t>
  </si>
  <si>
    <t xml:space="preserve">8 ea. - 13" x 26" x 1" shelves, 8 ea. - 3, 6, 9, 12 inch large posts, 5 lb. bag of kiln wash</t>
  </si>
  <si>
    <t xml:space="preserve">8 ea. - 14" x 28" x 1" shelves, 8 ea. - 3, 6, 9, 12 inch large posts, 5 lb. bag of kiln wash</t>
  </si>
  <si>
    <t xml:space="preserve">16 ea. - 15" x 15" x 1" shelves, 16 ea. - 3, 6, 9, 12 inch large posts, 5 lb. bag of kiln wash</t>
  </si>
  <si>
    <t xml:space="preserve">16 ea. - 16" x 16" x 1" shelves, 16 ea. - 3, 6, 9, 12 inch large posts, 5 lb. bag of kiln wash</t>
  </si>
  <si>
    <t xml:space="preserve">16 ea. - 18" x 18" x 1" shelves, 16 ea. - 3, 6, 9, 12 inch large posts, 5 lb. bag of kiln wash</t>
  </si>
  <si>
    <t xml:space="preserve">16 ea. - 20" x 20" x 1" shelves, 16 ea. - 3, 6, 9, 12 inch large posts, 5 lb. bag of kiln wash</t>
  </si>
  <si>
    <t xml:space="preserve">Item</t>
  </si>
  <si>
    <t xml:space="preserve">Description</t>
  </si>
  <si>
    <t xml:space="preserve">D$ Studio</t>
  </si>
  <si>
    <t xml:space="preserve">D$ Large Cap.</t>
  </si>
  <si>
    <t xml:space="preserve">3 Phase Wiring-Studio Line/Large Capacity</t>
  </si>
  <si>
    <t xml:space="preserve">How a building is wired  to run electricity through it, either 1 or 3 phase</t>
  </si>
  <si>
    <t xml:space="preserve">$110/$450</t>
  </si>
  <si>
    <t xml:space="preserve">2  Zone Control</t>
  </si>
  <si>
    <t xml:space="preserve">Two thermocouples installed in kiln to regulate temperatures at the top, center and bottom sections</t>
  </si>
  <si>
    <t xml:space="preserve">3 Zone Control</t>
  </si>
  <si>
    <t xml:space="preserve">Three thermocouples installed in kiln to regulate temperatures at the top, center and bottom sections</t>
  </si>
  <si>
    <t xml:space="preserve">480 volt</t>
  </si>
  <si>
    <t xml:space="preserve">Optional voltage</t>
  </si>
  <si>
    <t xml:space="preserve">Assorted Stilt Kit</t>
  </si>
  <si>
    <t xml:space="preserve">30 Assorted Stilts for Stilting Ware When Glazing</t>
  </si>
  <si>
    <t xml:space="preserve">Automatic Lid Shut-off</t>
  </si>
  <si>
    <t xml:space="preserve">Safety Shut-off when kiln lid is opened</t>
  </si>
  <si>
    <t xml:space="preserve">Blower Burner 200k (per burner)</t>
  </si>
  <si>
    <t xml:space="preserve">Alternative firing method for DD models/Burner on Kiln</t>
  </si>
  <si>
    <t xml:space="preserve">Alternative firing method for DD models/Burner Stand Alone</t>
  </si>
  <si>
    <t xml:space="preserve">HB Blank Collar</t>
  </si>
  <si>
    <t xml:space="preserve">Inside dimensions: 8" x 8" w x  4.5" h, 23 lbs.</t>
  </si>
  <si>
    <t xml:space="preserve">HB Bead Collar</t>
  </si>
  <si>
    <t xml:space="preserve">HB Fiber Floor</t>
  </si>
  <si>
    <t xml:space="preserve">HotBox Fiber Floor for Vitrigraph, 8"  x 8" x 1",  15 lbs.</t>
  </si>
  <si>
    <t xml:space="preserve">18" Blank Ring</t>
  </si>
  <si>
    <t xml:space="preserve">Inside dimensions: 17.5" w x 4.5" h, 30 lbs.</t>
  </si>
  <si>
    <t xml:space="preserve">18H" Blank Ring</t>
  </si>
  <si>
    <t xml:space="preserve">Inside dimensions: 17.5" w x 4.5" h, 36 lbs.</t>
  </si>
  <si>
    <t xml:space="preserve">23" Blank Ring</t>
  </si>
  <si>
    <t xml:space="preserve">Inside dimensions: 23 3/8" w x  4.5" h, 40 lbs.</t>
  </si>
  <si>
    <t xml:space="preserve">23H" Blank Ring</t>
  </si>
  <si>
    <t xml:space="preserve">Inside dimensions: 23 3/8" w x  4.5" h, 45 lbs.</t>
  </si>
  <si>
    <t xml:space="preserve">28/28H" Blank Ring</t>
  </si>
  <si>
    <t xml:space="preserve">Inside dimensions: 28.25" w x 4.5" h, 90 lbs.</t>
  </si>
  <si>
    <t xml:space="preserve">20/20H" Blank Ring</t>
  </si>
  <si>
    <t xml:space="preserve">Inside dimensions: 30" w x 20" d x 4.5" h, 65 lbs.</t>
  </si>
  <si>
    <t xml:space="preserve">25/25H" Blank Ring</t>
  </si>
  <si>
    <t xml:space="preserve">Inside dimensions: 37" w x 25" d x 4.5" h, 70 lbs.</t>
  </si>
  <si>
    <t xml:space="preserve">30/30H" Blank Ring</t>
  </si>
  <si>
    <t xml:space="preserve">Inside dimensions: 42" w x 30" d x 4.5" h, 75 lbs.</t>
  </si>
  <si>
    <t xml:space="preserve">Bead Door</t>
  </si>
  <si>
    <t xml:space="preserve">Small flip-up door installed on the body or the door of the GLASS kiln for annealing.</t>
  </si>
  <si>
    <t xml:space="preserve">Castors-Studio Kilns</t>
  </si>
  <si>
    <t xml:space="preserve">Wheels for Studio Kilns with 8" tall stand or frame</t>
  </si>
  <si>
    <t xml:space="preserve">Castors- Large Capacity Kilns</t>
  </si>
  <si>
    <t xml:space="preserve">Wheels for Large Capacity Kilns</t>
  </si>
  <si>
    <t xml:space="preserve">CE Wiring</t>
  </si>
  <si>
    <t xml:space="preserve">European Wiring Specifications</t>
  </si>
  <si>
    <t xml:space="preserve">Ceramic Paper</t>
  </si>
  <si>
    <t xml:space="preserve">1/8" thick - sold by the square foot</t>
  </si>
  <si>
    <t xml:space="preserve">Dual Media (DM) Lid Element</t>
  </si>
  <si>
    <t xml:space="preserve">Lid element added to a non-dual media kiln at the time of ordering</t>
  </si>
  <si>
    <t xml:space="preserve">Electro Sitter</t>
  </si>
  <si>
    <t xml:space="preserve">Equipped  with KilnStar Controller</t>
  </si>
  <si>
    <t xml:space="preserve">Equipped with Genesis 2.0 Controller</t>
  </si>
  <si>
    <t xml:space="preserve">Flash Arm (Glass Kilns)</t>
  </si>
  <si>
    <t xml:space="preserve">Studio Sized GLASS Kilns only,  Notched arm to hold lid in place while flash venting or combing glass.</t>
  </si>
  <si>
    <t xml:space="preserve">Gloves</t>
  </si>
  <si>
    <t xml:space="preserve">Heavy- duty, insulated</t>
  </si>
  <si>
    <t xml:space="preserve">Guillotine Lift</t>
  </si>
  <si>
    <t xml:space="preserve">Call for Pricing</t>
  </si>
  <si>
    <t xml:space="preserve">High Limit Controller</t>
  </si>
  <si>
    <t xml:space="preserve">Electronic controller for GAS kilns which sets target temperature and when reached, controller shuts down the kiln. Requires 120 volt receptacle</t>
  </si>
  <si>
    <t xml:space="preserve">Kiln Wash</t>
  </si>
  <si>
    <t xml:space="preserve">1 lb. bag</t>
  </si>
  <si>
    <t xml:space="preserve">5 lb. bag</t>
  </si>
  <si>
    <t xml:space="preserve">Lid Assist</t>
  </si>
  <si>
    <t xml:space="preserve">New kiln purchases for smaller production, studio kilns that do not come with a Lid Lift</t>
  </si>
  <si>
    <t xml:space="preserve">Lid Assist - Retro Fit</t>
  </si>
  <si>
    <t xml:space="preserve">Available for kilns which were purchased without a lid lift</t>
  </si>
  <si>
    <t xml:space="preserve">Lid  Elements in Quartz Rods</t>
  </si>
  <si>
    <t xml:space="preserve">Studio GLASS Kilns</t>
  </si>
  <si>
    <t xml:space="preserve">Large Capacity GLASS Kilns</t>
  </si>
  <si>
    <t xml:space="preserve">Lid Wedge</t>
  </si>
  <si>
    <t xml:space="preserve">Vents kiln (not for use on oval kilns)</t>
  </si>
  <si>
    <t xml:space="preserve">Low Pressure Regulator 18"</t>
  </si>
  <si>
    <t xml:space="preserve">For 18" Raku and Torchbearer GAS kilns</t>
  </si>
  <si>
    <t xml:space="preserve">Low Pressure Regulator 23" &amp; 28"</t>
  </si>
  <si>
    <t xml:space="preserve">For 23" &amp; 28" Raku and Torchbearer GAS kilns</t>
  </si>
  <si>
    <t xml:space="preserve">Observation Plugs</t>
  </si>
  <si>
    <t xml:space="preserve">Peephole Plugs</t>
  </si>
  <si>
    <t xml:space="preserve">Pyrometer Digital</t>
  </si>
  <si>
    <t xml:space="preserve">Studfio Kilns with Type K Thermocouple 5-6 inch (comes with two thermocouples)</t>
  </si>
  <si>
    <t xml:space="preserve">Large Capacity Kilns with Type K Thermocouple 10-inch (comes with two thermocouples)</t>
  </si>
  <si>
    <t xml:space="preserve">Quartz Glass Viewing Window</t>
  </si>
  <si>
    <t xml:space="preserve">Round 2" diameter for GLASS kilns</t>
  </si>
  <si>
    <t xml:space="preserve">Rectangle 4"w x 2"h for GLASS kilns</t>
  </si>
  <si>
    <t xml:space="preserve">Raku Tongs</t>
  </si>
  <si>
    <t xml:space="preserve">38" long  with a 45" angle when opened, teeth for gripping ware</t>
  </si>
  <si>
    <t xml:space="preserve">Rotating Door</t>
  </si>
  <si>
    <t xml:space="preserve">360 degree revolving door for DownDraft GAS models</t>
  </si>
  <si>
    <t xml:space="preserve">Shelf Rack</t>
  </si>
  <si>
    <t xml:space="preserve">Large Capacity Kilns shelf rack underneath kiln chamber and attached to the frame</t>
  </si>
  <si>
    <t xml:space="preserve">Solid Electrical Box</t>
  </si>
  <si>
    <t xml:space="preserve">Must specify when ordering stackableStudio kilns</t>
  </si>
  <si>
    <t xml:space="preserve">Type S Thermocouple</t>
  </si>
  <si>
    <t xml:space="preserve">5" long for Studio Kilns</t>
  </si>
  <si>
    <t xml:space="preserve">10"  long for Large Capacity Kilns</t>
  </si>
  <si>
    <t xml:space="preserve">VentMaster</t>
  </si>
  <si>
    <t xml:space="preserve">Downdraft  vent system for electric kilns</t>
  </si>
  <si>
    <t xml:space="preserve">VentMaster Expansion Kit</t>
  </si>
  <si>
    <t xml:space="preserve">Downdraft  vent system to run two electric kilns to run off same vent</t>
  </si>
  <si>
    <t xml:space="preserve">AOP Receptacle</t>
  </si>
  <si>
    <t xml:space="preserve">Used to control the VentMaster through the electronic control. Comes equipped with 120 volt drop cord</t>
  </si>
  <si>
    <t xml:space="preserve">Vent Hood for 18" &amp; 23" kilns</t>
  </si>
  <si>
    <t xml:space="preserve">Stainless steel GAS vent hood - 36" x 36"</t>
  </si>
  <si>
    <t xml:space="preserve">Vent Hood for 28" kilns</t>
  </si>
  <si>
    <t xml:space="preserve">Stainless steel GAS vent hood - 40" x 40"</t>
  </si>
  <si>
    <t xml:space="preserve">Vent Hood - DownDraft Kilns</t>
  </si>
  <si>
    <t xml:space="preserve">Galvanized Steel GAS Vent Hood - 48" x 48"</t>
  </si>
  <si>
    <t xml:space="preserve">Stainless Steel GAS Vent Hood - 48" x 48"</t>
  </si>
  <si>
    <t xml:space="preserve">Wood Crating</t>
  </si>
  <si>
    <t xml:space="preserve">Studio Kilns</t>
  </si>
  <si>
    <t xml:space="preserve">Shelf</t>
  </si>
  <si>
    <t xml:space="preserve">Dimensions</t>
  </si>
  <si>
    <t xml:space="preserve">Shape</t>
  </si>
  <si>
    <t xml:space="preserve">Wt. (lbs.)</t>
  </si>
  <si>
    <t xml:space="preserve">HB64, HotBox Shelf</t>
  </si>
  <si>
    <t xml:space="preserve">5.5" x 5.5"</t>
  </si>
  <si>
    <t xml:space="preserve">Square</t>
  </si>
  <si>
    <t xml:space="preserve">HB84,HB86, HB89 Shelf</t>
  </si>
  <si>
    <t xml:space="preserve">6.5 x 6.5"</t>
  </si>
  <si>
    <t xml:space="preserve">Doll/Test Shelf</t>
  </si>
  <si>
    <t xml:space="preserve">10" x 6"</t>
  </si>
  <si>
    <t xml:space="preserve">Oval</t>
  </si>
  <si>
    <t xml:space="preserve">12-12H" Shelf</t>
  </si>
  <si>
    <t xml:space="preserve">10" x 10"</t>
  </si>
  <si>
    <t xml:space="preserve">Round</t>
  </si>
  <si>
    <t xml:space="preserve">126 Liite, Traveler Shelf</t>
  </si>
  <si>
    <t xml:space="preserve">129FL, 139FL Shelf</t>
  </si>
  <si>
    <t xml:space="preserve">9" x 7"</t>
  </si>
  <si>
    <t xml:space="preserve">Rectangle</t>
  </si>
  <si>
    <t xml:space="preserve">1214FL Shelf</t>
  </si>
  <si>
    <t xml:space="preserve">12" x 9"</t>
  </si>
  <si>
    <t xml:space="preserve">149FL Shelf</t>
  </si>
  <si>
    <t xml:space="preserve">12" x 7"</t>
  </si>
  <si>
    <t xml:space="preserve">1414FL Shelf</t>
  </si>
  <si>
    <t xml:space="preserve">12" x 11"</t>
  </si>
  <si>
    <t xml:space="preserve">1818FL Shelf</t>
  </si>
  <si>
    <t xml:space="preserve">16" x 16"</t>
  </si>
  <si>
    <t xml:space="preserve">1823FL Shelf</t>
  </si>
  <si>
    <t xml:space="preserve">16" x 20"</t>
  </si>
  <si>
    <t xml:space="preserve">14H" Half Shelf</t>
  </si>
  <si>
    <t xml:space="preserve">13" x 6.5"</t>
  </si>
  <si>
    <t xml:space="preserve">14H" Full Shelf</t>
  </si>
  <si>
    <t xml:space="preserve">13" x 13"</t>
  </si>
  <si>
    <t xml:space="preserve">14"  Square</t>
  </si>
  <si>
    <t xml:space="preserve">15" x 15"</t>
  </si>
  <si>
    <t xml:space="preserve">18 Raku or Torchbearer</t>
  </si>
  <si>
    <t xml:space="preserve">13" x  6.5" x 1/2"</t>
  </si>
  <si>
    <t xml:space="preserve">Half Round</t>
  </si>
  <si>
    <t xml:space="preserve">13" x 13" x 1/2"</t>
  </si>
  <si>
    <t xml:space="preserve">18/18H" Half Shelf</t>
  </si>
  <si>
    <t xml:space="preserve">15 3/4" x 8 3/8"</t>
  </si>
  <si>
    <t xml:space="preserve">Half Octagon</t>
  </si>
  <si>
    <t xml:space="preserve">18/18H" , TopHat 189 Full Shelf</t>
  </si>
  <si>
    <t xml:space="preserve">15.5" x 16.5"</t>
  </si>
  <si>
    <t xml:space="preserve">Octagon</t>
  </si>
  <si>
    <t xml:space="preserve">23 Raku or Torchbearer</t>
  </si>
  <si>
    <t xml:space="preserve">19" x 9" x 1"</t>
  </si>
  <si>
    <t xml:space="preserve">28 Raku or Torchbearer</t>
  </si>
  <si>
    <t xml:space="preserve">24" x 12" x 1"</t>
  </si>
  <si>
    <t xml:space="preserve">23" Half Shelf</t>
  </si>
  <si>
    <t xml:space="preserve">21" x 10.5"</t>
  </si>
  <si>
    <t xml:space="preserve">23" Full Shelf</t>
  </si>
  <si>
    <t xml:space="preserve">21" x 21" x 1/2"</t>
  </si>
  <si>
    <t xml:space="preserve">23H" Half Shelf</t>
  </si>
  <si>
    <t xml:space="preserve">21" x 10.5" x 1"</t>
  </si>
  <si>
    <t xml:space="preserve">23H", TopHat 239 &amp; 2314 Full Shelf</t>
  </si>
  <si>
    <t xml:space="preserve">21" x 1"</t>
  </si>
  <si>
    <t xml:space="preserve">28" Half Shelf</t>
  </si>
  <si>
    <t xml:space="preserve">26" x 13"</t>
  </si>
  <si>
    <t xml:space="preserve">28H", TopHat 289, 2814, &amp; 2827  Half Shelf</t>
  </si>
  <si>
    <t xml:space="preserve">26" x 13" x 1"</t>
  </si>
  <si>
    <t xml:space="preserve">20H" Half Shelf</t>
  </si>
  <si>
    <t xml:space="preserve">15.5" x 7 3/4"</t>
  </si>
  <si>
    <t xml:space="preserve">20H" Center Shelf</t>
  </si>
  <si>
    <t xml:space="preserve">12" x 16" x 5/8"</t>
  </si>
  <si>
    <t xml:space="preserve">20H" Full Shelf</t>
  </si>
  <si>
    <t xml:space="preserve">15.5" x 27" x 1"</t>
  </si>
  <si>
    <t xml:space="preserve">25H" Half Shelf</t>
  </si>
  <si>
    <t xml:space="preserve">25H" Center Shelf, DD9, TL4828, TL4832 FL8, FL10, FL12, FL42, FL53 Shelf</t>
  </si>
  <si>
    <t xml:space="preserve">22" x 11" x 1"</t>
  </si>
  <si>
    <t xml:space="preserve">25H" Full Shelf</t>
  </si>
  <si>
    <t xml:space="preserve">21" x 32" x 1"</t>
  </si>
  <si>
    <t xml:space="preserve">30H" Half Shelf</t>
  </si>
  <si>
    <t xml:space="preserve">30H" Center Shelf. DD12, FL17, FL20, TL20 Shelf</t>
  </si>
  <si>
    <t xml:space="preserve">30H" Full Shelf</t>
  </si>
  <si>
    <t xml:space="preserve">26" x 39" x 1"</t>
  </si>
  <si>
    <t xml:space="preserve">15" x 15" x 1"</t>
  </si>
  <si>
    <t xml:space="preserve">DD24, FL4.5, FL24 Shelf</t>
  </si>
  <si>
    <t xml:space="preserve">16" x 16" x 1"</t>
  </si>
  <si>
    <t xml:space="preserve">FL5.5, FL36 Shelf</t>
  </si>
  <si>
    <t xml:space="preserve">18" x 18" x 1"</t>
  </si>
  <si>
    <t xml:space="preserve">FL27, FL31 Shelf</t>
  </si>
  <si>
    <t xml:space="preserve">17" x 17" x 1"</t>
  </si>
  <si>
    <t xml:space="preserve">FL64 Shelf</t>
  </si>
  <si>
    <t xml:space="preserve">23 x 23" x 1"</t>
  </si>
  <si>
    <t xml:space="preserve">DD30, GF2s</t>
  </si>
  <si>
    <t xml:space="preserve">20" x 20" x 1"</t>
  </si>
  <si>
    <t xml:space="preserve">23" x 23" x 1"</t>
  </si>
  <si>
    <t xml:space="preserve">27" x 27"</t>
  </si>
  <si>
    <t xml:space="preserve">TL24 Shelf</t>
  </si>
  <si>
    <t xml:space="preserve">20" x 11" x 1"</t>
  </si>
  <si>
    <t xml:space="preserve">TL5428, TL5432 Shelf</t>
  </si>
  <si>
    <t xml:space="preserve">26" x 11" x 1"</t>
  </si>
  <si>
    <t xml:space="preserve">DD14, DD17</t>
  </si>
  <si>
    <t xml:space="preserve">28" x 14" x 1"</t>
  </si>
  <si>
    <t xml:space="preserve">Post Type</t>
  </si>
  <si>
    <t xml:space="preserve">Size</t>
  </si>
  <si>
    <t xml:space="preserve">Small (1" x 1" square)</t>
  </si>
  <si>
    <t xml:space="preserve">1/2 Inch</t>
  </si>
  <si>
    <t xml:space="preserve">1 inch</t>
  </si>
  <si>
    <t xml:space="preserve">2 inch</t>
  </si>
  <si>
    <t xml:space="preserve">3 inch</t>
  </si>
  <si>
    <t xml:space="preserve">4 inch</t>
  </si>
  <si>
    <t xml:space="preserve">5 inch</t>
  </si>
  <si>
    <t xml:space="preserve">6 inch</t>
  </si>
  <si>
    <t xml:space="preserve">8 inch</t>
  </si>
  <si>
    <t xml:space="preserve">Large (1 1/2" x 1 1/2" square)</t>
  </si>
  <si>
    <t xml:space="preserve">7 inch</t>
  </si>
  <si>
    <t xml:space="preserve">9 inch</t>
  </si>
  <si>
    <t xml:space="preserve">10 inch</t>
  </si>
  <si>
    <t xml:space="preserve">12 inch</t>
  </si>
  <si>
    <t xml:space="preserve">Amperage Limit</t>
  </si>
  <si>
    <t xml:space="preserve">Voltage</t>
  </si>
  <si>
    <t xml:space="preserve">Set Price, 1 Phase Wiring</t>
  </si>
  <si>
    <t xml:space="preserve">Add'l Relay, 2 or 3 Zone Under 50 Amps</t>
  </si>
  <si>
    <t xml:space="preserve">Add'l Relays, 3 Phase Wiring</t>
  </si>
  <si>
    <t xml:space="preserve">D$ 1 Phase</t>
  </si>
  <si>
    <t xml:space="preserve">D$ 2/3 Zone</t>
  </si>
  <si>
    <t xml:space="preserve">D$ 3 Phase</t>
  </si>
  <si>
    <t xml:space="preserve">Up to 20 Amps</t>
  </si>
  <si>
    <t xml:space="preserve">Up to 25 Amps</t>
  </si>
  <si>
    <t xml:space="preserve">240/208</t>
  </si>
  <si>
    <t xml:space="preserve">26-50 Amps</t>
  </si>
  <si>
    <t xml:space="preserve">51-75 Amps</t>
  </si>
  <si>
    <t xml:space="preserve">76-100 Amps</t>
  </si>
  <si>
    <t xml:space="preserve">101-125 Amps</t>
  </si>
  <si>
    <t xml:space="preserve">126-150 Amps</t>
  </si>
  <si>
    <t xml:space="preserve">151-175 Amps</t>
  </si>
  <si>
    <t xml:space="preserve">175-200 Amps</t>
  </si>
  <si>
    <t xml:space="preserve">Olympic Kilns — 2026 Pricing (effective OCT 2026)</t>
  </si>
  <si>
    <t xml:space="preserve">Source: 2026_New_Pricing_OCT26.xlsx, sheet "Sheet1". Prices are copied from that file, not calculated,</t>
  </si>
  <si>
    <t xml:space="preserve">except for the corrections listed below.</t>
  </si>
  <si>
    <t xml:space="preserve">Olympic Kilns, PO Box 1347, 4225 Thurmon Tanner Pkwy., Flowery Branch, GA 30542 — Sales (800) 241-4400 — olympickilns.com</t>
  </si>
  <si>
    <t xml:space="preserve">How the Kilns sheet works</t>
  </si>
  <si>
    <t xml:space="preserve">One row per model. Base Price is the model with its base controller — Spark where it is offered, otherwise</t>
  </si>
  <si>
    <t xml:space="preserve">KilnStar; gas kilns are priced as "Burners w/ Ignition System" and have no controller options.</t>
  </si>
  <si>
    <t xml:space="preserve">Upgrade to KilnStar / Upgrade to Genesis = what that controller ADDS to the base price, not the total.</t>
  </si>
  <si>
    <t xml:space="preserve">A blank upgrade means the controller is either the base or not offered on that model.</t>
  </si>
  <si>
    <t xml:space="preserve">Those upgrade columns are formulas driven by the Controller Prices sheet, which lists the full price of every</t>
  </si>
  <si>
    <t xml:space="preserve">model/controller combination exactly as printed in the source — edit a price there and the upgrades follow.</t>
  </si>
  <si>
    <t xml:space="preserve">Distributor $ / D$ columns are the source's "D$" distributor prices (Studio line 40% off list, Large Capacity</t>
  </si>
  <si>
    <t xml:space="preserve">30% off), shown the same way: a base distributor price plus the distributor cost of each upgrade.</t>
  </si>
  <si>
    <t xml:space="preserve">Corrections applied to the source</t>
  </si>
  <si>
    <t xml:space="preserve">• 1818E / Genesis list price set to $2,925 as confirmed by Sheffield Pottery; the source sheet printed $2,425, which was out of line with the $150 Genesis upgrade every other model carries.</t>
  </si>
  <si>
    <t xml:space="preserve">Source figures that look wrong but were left as printed</t>
  </si>
  <si>
    <t xml:space="preserve">• GF5E / KilnStar: distributor $3,240 is 72.0% of list $4,500; the usual 40% off would be $2,700 (source row 331)</t>
  </si>
  <si>
    <t xml:space="preserve">• GF17E / Genesis: distributor $11,935 is 87.1% of list $13,700; the usual 30% off would be $9,590 (source row 595)</t>
  </si>
  <si>
    <t xml:space="preserve">• GF17E CS / KilnStar: distributor $9,485 is 64.1% of list $14,800; the usual 30% off would be $10,360 (source row 594)</t>
  </si>
  <si>
    <t xml:space="preserve">• GF17E CS / Genesis: distributor $25,550 is 170.9% of list $14,950; the usual 30% off would be $10,465 (source row 595)</t>
  </si>
  <si>
    <t xml:space="preserve">Carried over from the source as printed</t>
  </si>
  <si>
    <t xml:space="preserve">• 1818E / Genesis distributor price is still the source's $1,455, which was 40% off the old $2,425 list.</t>
  </si>
  <si>
    <t xml:space="preserve">  40% off the corrected $2,925 list would be $1,755 — confirm with Olympic before quoting dealer cost.</t>
  </si>
  <si>
    <t xml:space="preserve">  This is why the 1818E row shows a negative Genesis Upgrade D$.</t>
  </si>
  <si>
    <t xml:space="preserve">• Two models come out with a NEGATIVE upgrade because that is how the source prices them: HB86 Vitrigraph</t>
  </si>
  <si>
    <t xml:space="preserve">  (KilnStar $1,625 vs Spark $1,700 — different controllers rather than tiers) and DM2823HE (Genesis $5,835</t>
  </si>
  <si>
    <t xml:space="preserve">  vs KilnStar $5,985, where every other Dual Media model adds $150 for Genesis).</t>
  </si>
  <si>
    <t xml:space="preserve">• 2318HE and GF12E have no distributor price in the source.</t>
  </si>
  <si>
    <t xml:space="preserve">• "GE12E CS" is spelled that way in the source (elsewhere GF12E CS).</t>
  </si>
  <si>
    <t xml:space="preserve">• Model footnote markers (* / **) were dropped from model numbers; they refer to notes on lower amperage/</t>
  </si>
  <si>
    <t xml:space="preserve">  temperature options and to door-swing clearances on front loaders.</t>
  </si>
  <si>
    <t xml:space="preserve">From the source sheet</t>
  </si>
  <si>
    <t xml:space="preserve">• Pricing is subject to change without notice. Shipping weights are estimates and may vary by 10%.</t>
  </si>
  <si>
    <t xml:space="preserve">• Kilns shipping to CA, IL, CT, MN, ME, MA, NH, NY, RI and VT must have solid state relays; that cost is added at order time.</t>
  </si>
  <si>
    <t xml:space="preserve">• Maximum temperature drops to 2000°F when a collar is added to any HotBox model.</t>
  </si>
  <si>
    <t xml:space="preserve">• Some accessories are not compatible with all models.</t>
  </si>
  <si>
    <t xml:space="preserve">• Made in the USA.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</si>
</sst>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##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9" min="5" style="0" width="15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3" t="n">
        <v>1235</v>
      </c>
      <c r="E2" s="3" t="str">
        <f aca="false">IF(OR($C2="KilnStar",$D2="",INDEX('Controller Prices'!$D:$D,MATCH($B2,'Controller Prices'!$B:$B,0))=""),"",INDEX('Controller Prices'!$D:$D,MATCH($B2,'Controller Prices'!$B:$B,0))-$D2)</f>
        <v/>
      </c>
      <c r="F2" s="3" t="str">
        <f aca="false">IF(OR($D2="",INDEX('Controller Prices'!$E:$E,MATCH($B2,'Controller Prices'!$B:$B,0))=""),"",INDEX('Controller Prices'!$E:$E,MATCH($B2,'Controller Prices'!$B:$B,0))-$D2)</f>
        <v/>
      </c>
      <c r="G2" s="3" t="n">
        <v>741</v>
      </c>
      <c r="H2" s="3" t="str">
        <f aca="false">IF(OR($C2="KilnStar",$G2="",INDEX('Controller Prices'!$H:$H,MATCH($B2,'Controller Prices'!$B:$B,0))=""),"",INDEX('Controller Prices'!$H:$H,MATCH($B2,'Controller Prices'!$B:$B,0))-$G2)</f>
        <v/>
      </c>
      <c r="I2" s="3" t="str">
        <f aca="false">IF(OR($G2="",INDEX('Controller Prices'!$I:$I,MATCH($B2,'Controller Prices'!$B:$B,0))=""),"",INDEX('Controller Prices'!$I:$I,MATCH($B2,'Controller Prices'!$B:$B,0))-$G2)</f>
        <v/>
      </c>
    </row>
    <row r="3" customFormat="false" ht="15" hidden="false" customHeight="false" outlineLevel="0" collapsed="false">
      <c r="A3" s="2" t="s">
        <v>9</v>
      </c>
      <c r="B3" s="2" t="s">
        <v>12</v>
      </c>
      <c r="C3" s="2" t="s">
        <v>11</v>
      </c>
      <c r="D3" s="3" t="n">
        <v>1365</v>
      </c>
      <c r="E3" s="3" t="str">
        <f aca="false">IF(OR($C3="KilnStar",$D3="",INDEX('Controller Prices'!$D:$D,MATCH($B3,'Controller Prices'!$B:$B,0))=""),"",INDEX('Controller Prices'!$D:$D,MATCH($B3,'Controller Prices'!$B:$B,0))-$D3)</f>
        <v/>
      </c>
      <c r="F3" s="3" t="str">
        <f aca="false">IF(OR($D3="",INDEX('Controller Prices'!$E:$E,MATCH($B3,'Controller Prices'!$B:$B,0))=""),"",INDEX('Controller Prices'!$E:$E,MATCH($B3,'Controller Prices'!$B:$B,0))-$D3)</f>
        <v/>
      </c>
      <c r="G3" s="3" t="n">
        <v>819</v>
      </c>
      <c r="H3" s="3" t="str">
        <f aca="false">IF(OR($C3="KilnStar",$G3="",INDEX('Controller Prices'!$H:$H,MATCH($B3,'Controller Prices'!$B:$B,0))=""),"",INDEX('Controller Prices'!$H:$H,MATCH($B3,'Controller Prices'!$B:$B,0))-$G3)</f>
        <v/>
      </c>
      <c r="I3" s="3" t="str">
        <f aca="false">IF(OR($G3="",INDEX('Controller Prices'!$I:$I,MATCH($B3,'Controller Prices'!$B:$B,0))=""),"",INDEX('Controller Prices'!$I:$I,MATCH($B3,'Controller Prices'!$B:$B,0))-$G3)</f>
        <v/>
      </c>
    </row>
    <row r="4" customFormat="false" ht="15" hidden="false" customHeight="false" outlineLevel="0" collapsed="false">
      <c r="A4" s="2" t="s">
        <v>9</v>
      </c>
      <c r="B4" s="2" t="s">
        <v>13</v>
      </c>
      <c r="C4" s="2" t="s">
        <v>11</v>
      </c>
      <c r="D4" s="3" t="n">
        <v>1525</v>
      </c>
      <c r="E4" s="3" t="str">
        <f aca="false">IF(OR($C4="KilnStar",$D4="",INDEX('Controller Prices'!$D:$D,MATCH($B4,'Controller Prices'!$B:$B,0))=""),"",INDEX('Controller Prices'!$D:$D,MATCH($B4,'Controller Prices'!$B:$B,0))-$D4)</f>
        <v/>
      </c>
      <c r="F4" s="3" t="str">
        <f aca="false">IF(OR($D4="",INDEX('Controller Prices'!$E:$E,MATCH($B4,'Controller Prices'!$B:$B,0))=""),"",INDEX('Controller Prices'!$E:$E,MATCH($B4,'Controller Prices'!$B:$B,0))-$D4)</f>
        <v/>
      </c>
      <c r="G4" s="3" t="n">
        <v>915</v>
      </c>
      <c r="H4" s="3" t="str">
        <f aca="false">IF(OR($C4="KilnStar",$G4="",INDEX('Controller Prices'!$H:$H,MATCH($B4,'Controller Prices'!$B:$B,0))=""),"",INDEX('Controller Prices'!$H:$H,MATCH($B4,'Controller Prices'!$B:$B,0))-$G4)</f>
        <v/>
      </c>
      <c r="I4" s="3" t="str">
        <f aca="false">IF(OR($G4="",INDEX('Controller Prices'!$I:$I,MATCH($B4,'Controller Prices'!$B:$B,0))=""),"",INDEX('Controller Prices'!$I:$I,MATCH($B4,'Controller Prices'!$B:$B,0))-$G4)</f>
        <v/>
      </c>
    </row>
    <row r="5" customFormat="false" ht="15" hidden="false" customHeight="false" outlineLevel="0" collapsed="false">
      <c r="A5" s="2" t="s">
        <v>9</v>
      </c>
      <c r="B5" s="2" t="s">
        <v>14</v>
      </c>
      <c r="C5" s="2" t="s">
        <v>15</v>
      </c>
      <c r="D5" s="3" t="n">
        <v>1450</v>
      </c>
      <c r="E5" s="3" t="str">
        <f aca="false">IF(OR($C5="KilnStar",$D5="",INDEX('Controller Prices'!$D:$D,MATCH($B5,'Controller Prices'!$B:$B,0))=""),"",INDEX('Controller Prices'!$D:$D,MATCH($B5,'Controller Prices'!$B:$B,0))-$D5)</f>
        <v/>
      </c>
      <c r="F5" s="3" t="n">
        <f aca="false">IF(OR($D5="",INDEX('Controller Prices'!$E:$E,MATCH($B5,'Controller Prices'!$B:$B,0))=""),"",INDEX('Controller Prices'!$E:$E,MATCH($B5,'Controller Prices'!$B:$B,0))-$D5)</f>
        <v>150</v>
      </c>
      <c r="G5" s="3" t="n">
        <v>870</v>
      </c>
      <c r="H5" s="3" t="str">
        <f aca="false">IF(OR($C5="KilnStar",$G5="",INDEX('Controller Prices'!$H:$H,MATCH($B5,'Controller Prices'!$B:$B,0))=""),"",INDEX('Controller Prices'!$H:$H,MATCH($B5,'Controller Prices'!$B:$B,0))-$G5)</f>
        <v/>
      </c>
      <c r="I5" s="3" t="n">
        <f aca="false">IF(OR($G5="",INDEX('Controller Prices'!$I:$I,MATCH($B5,'Controller Prices'!$B:$B,0))=""),"",INDEX('Controller Prices'!$I:$I,MATCH($B5,'Controller Prices'!$B:$B,0))-$G5)</f>
        <v>90</v>
      </c>
    </row>
    <row r="6" customFormat="false" ht="15" hidden="false" customHeight="false" outlineLevel="0" collapsed="false">
      <c r="A6" s="2" t="s">
        <v>9</v>
      </c>
      <c r="B6" s="2" t="s">
        <v>16</v>
      </c>
      <c r="C6" s="2" t="s">
        <v>11</v>
      </c>
      <c r="D6" s="3" t="n">
        <v>1700</v>
      </c>
      <c r="E6" s="3" t="n">
        <f aca="false">IF(OR($C6="KilnStar",$D6="",INDEX('Controller Prices'!$D:$D,MATCH($B6,'Controller Prices'!$B:$B,0))=""),"",INDEX('Controller Prices'!$D:$D,MATCH($B6,'Controller Prices'!$B:$B,0))-$D6)</f>
        <v>-75</v>
      </c>
      <c r="F6" s="3" t="n">
        <f aca="false">IF(OR($D6="",INDEX('Controller Prices'!$E:$E,MATCH($B6,'Controller Prices'!$B:$B,0))=""),"",INDEX('Controller Prices'!$E:$E,MATCH($B6,'Controller Prices'!$B:$B,0))-$D6)</f>
        <v>75</v>
      </c>
      <c r="G6" s="3" t="n">
        <v>1020</v>
      </c>
      <c r="H6" s="3" t="n">
        <f aca="false">IF(OR($C6="KilnStar",$G6="",INDEX('Controller Prices'!$H:$H,MATCH($B6,'Controller Prices'!$B:$B,0))=""),"",INDEX('Controller Prices'!$H:$H,MATCH($B6,'Controller Prices'!$B:$B,0))-$G6)</f>
        <v>-45</v>
      </c>
      <c r="I6" s="3" t="n">
        <f aca="false">IF(OR($G6="",INDEX('Controller Prices'!$I:$I,MATCH($B6,'Controller Prices'!$B:$B,0))=""),"",INDEX('Controller Prices'!$I:$I,MATCH($B6,'Controller Prices'!$B:$B,0))-$G6)</f>
        <v>45</v>
      </c>
    </row>
    <row r="7" customFormat="false" ht="15" hidden="false" customHeight="false" outlineLevel="0" collapsed="false">
      <c r="A7" s="2" t="s">
        <v>17</v>
      </c>
      <c r="B7" s="2" t="s">
        <v>18</v>
      </c>
      <c r="C7" s="2" t="s">
        <v>15</v>
      </c>
      <c r="D7" s="3" t="n">
        <v>1600</v>
      </c>
      <c r="E7" s="3" t="str">
        <f aca="false">IF(OR($C7="KilnStar",$D7="",INDEX('Controller Prices'!$D:$D,MATCH($B7,'Controller Prices'!$B:$B,0))=""),"",INDEX('Controller Prices'!$D:$D,MATCH($B7,'Controller Prices'!$B:$B,0))-$D7)</f>
        <v/>
      </c>
      <c r="F7" s="3" t="n">
        <f aca="false">IF(OR($D7="",INDEX('Controller Prices'!$E:$E,MATCH($B7,'Controller Prices'!$B:$B,0))=""),"",INDEX('Controller Prices'!$E:$E,MATCH($B7,'Controller Prices'!$B:$B,0))-$D7)</f>
        <v>125</v>
      </c>
      <c r="G7" s="3" t="n">
        <v>960</v>
      </c>
      <c r="H7" s="3" t="str">
        <f aca="false">IF(OR($C7="KilnStar",$G7="",INDEX('Controller Prices'!$H:$H,MATCH($B7,'Controller Prices'!$B:$B,0))=""),"",INDEX('Controller Prices'!$H:$H,MATCH($B7,'Controller Prices'!$B:$B,0))-$G7)</f>
        <v/>
      </c>
      <c r="I7" s="3" t="n">
        <f aca="false">IF(OR($G7="",INDEX('Controller Prices'!$I:$I,MATCH($B7,'Controller Prices'!$B:$B,0))=""),"",INDEX('Controller Prices'!$I:$I,MATCH($B7,'Controller Prices'!$B:$B,0))-$G7)</f>
        <v>75</v>
      </c>
    </row>
    <row r="8" customFormat="false" ht="15" hidden="false" customHeight="false" outlineLevel="0" collapsed="false">
      <c r="A8" s="2" t="s">
        <v>17</v>
      </c>
      <c r="B8" s="2" t="s">
        <v>19</v>
      </c>
      <c r="C8" s="2" t="s">
        <v>15</v>
      </c>
      <c r="D8" s="3" t="n">
        <v>1710</v>
      </c>
      <c r="E8" s="3" t="str">
        <f aca="false">IF(OR($C8="KilnStar",$D8="",INDEX('Controller Prices'!$D:$D,MATCH($B8,'Controller Prices'!$B:$B,0))=""),"",INDEX('Controller Prices'!$D:$D,MATCH($B8,'Controller Prices'!$B:$B,0))-$D8)</f>
        <v/>
      </c>
      <c r="F8" s="3" t="n">
        <f aca="false">IF(OR($D8="",INDEX('Controller Prices'!$E:$E,MATCH($B8,'Controller Prices'!$B:$B,0))=""),"",INDEX('Controller Prices'!$E:$E,MATCH($B8,'Controller Prices'!$B:$B,0))-$D8)</f>
        <v>120</v>
      </c>
      <c r="G8" s="3" t="n">
        <v>1026</v>
      </c>
      <c r="H8" s="3" t="str">
        <f aca="false">IF(OR($C8="KilnStar",$G8="",INDEX('Controller Prices'!$H:$H,MATCH($B8,'Controller Prices'!$B:$B,0))=""),"",INDEX('Controller Prices'!$H:$H,MATCH($B8,'Controller Prices'!$B:$B,0))-$G8)</f>
        <v/>
      </c>
      <c r="I8" s="3" t="n">
        <f aca="false">IF(OR($G8="",INDEX('Controller Prices'!$I:$I,MATCH($B8,'Controller Prices'!$B:$B,0))=""),"",INDEX('Controller Prices'!$I:$I,MATCH($B8,'Controller Prices'!$B:$B,0))-$G8)</f>
        <v>72</v>
      </c>
    </row>
    <row r="9" customFormat="false" ht="15" hidden="false" customHeight="false" outlineLevel="0" collapsed="false">
      <c r="A9" s="2" t="s">
        <v>17</v>
      </c>
      <c r="B9" s="2" t="s">
        <v>20</v>
      </c>
      <c r="C9" s="2" t="s">
        <v>15</v>
      </c>
      <c r="D9" s="3" t="n">
        <v>2200</v>
      </c>
      <c r="E9" s="3" t="str">
        <f aca="false">IF(OR($C9="KilnStar",$D9="",INDEX('Controller Prices'!$D:$D,MATCH($B9,'Controller Prices'!$B:$B,0))=""),"",INDEX('Controller Prices'!$D:$D,MATCH($B9,'Controller Prices'!$B:$B,0))-$D9)</f>
        <v/>
      </c>
      <c r="F9" s="3" t="n">
        <f aca="false">IF(OR($D9="",INDEX('Controller Prices'!$E:$E,MATCH($B9,'Controller Prices'!$B:$B,0))=""),"",INDEX('Controller Prices'!$E:$E,MATCH($B9,'Controller Prices'!$B:$B,0))-$D9)</f>
        <v>150</v>
      </c>
      <c r="G9" s="3" t="n">
        <v>1320</v>
      </c>
      <c r="H9" s="3" t="str">
        <f aca="false">IF(OR($C9="KilnStar",$G9="",INDEX('Controller Prices'!$H:$H,MATCH($B9,'Controller Prices'!$B:$B,0))=""),"",INDEX('Controller Prices'!$H:$H,MATCH($B9,'Controller Prices'!$B:$B,0))-$G9)</f>
        <v/>
      </c>
      <c r="I9" s="3" t="n">
        <f aca="false">IF(OR($G9="",INDEX('Controller Prices'!$I:$I,MATCH($B9,'Controller Prices'!$B:$B,0))=""),"",INDEX('Controller Prices'!$I:$I,MATCH($B9,'Controller Prices'!$B:$B,0))-$G9)</f>
        <v>90</v>
      </c>
    </row>
    <row r="10" customFormat="false" ht="15" hidden="false" customHeight="false" outlineLevel="0" collapsed="false">
      <c r="A10" s="2" t="s">
        <v>17</v>
      </c>
      <c r="B10" s="2" t="s">
        <v>21</v>
      </c>
      <c r="C10" s="2" t="s">
        <v>15</v>
      </c>
      <c r="D10" s="3" t="n">
        <v>1450</v>
      </c>
      <c r="E10" s="3" t="str">
        <f aca="false">IF(OR($C10="KilnStar",$D10="",INDEX('Controller Prices'!$D:$D,MATCH($B10,'Controller Prices'!$B:$B,0))=""),"",INDEX('Controller Prices'!$D:$D,MATCH($B10,'Controller Prices'!$B:$B,0))-$D10)</f>
        <v/>
      </c>
      <c r="F10" s="3" t="n">
        <f aca="false">IF(OR($D10="",INDEX('Controller Prices'!$E:$E,MATCH($B10,'Controller Prices'!$B:$B,0))=""),"",INDEX('Controller Prices'!$E:$E,MATCH($B10,'Controller Prices'!$B:$B,0))-$D10)</f>
        <v>150</v>
      </c>
      <c r="G10" s="3" t="n">
        <v>870</v>
      </c>
      <c r="H10" s="3" t="str">
        <f aca="false">IF(OR($C10="KilnStar",$G10="",INDEX('Controller Prices'!$H:$H,MATCH($B10,'Controller Prices'!$B:$B,0))=""),"",INDEX('Controller Prices'!$H:$H,MATCH($B10,'Controller Prices'!$B:$B,0))-$G10)</f>
        <v/>
      </c>
      <c r="I10" s="3" t="n">
        <f aca="false">IF(OR($G10="",INDEX('Controller Prices'!$I:$I,MATCH($B10,'Controller Prices'!$B:$B,0))=""),"",INDEX('Controller Prices'!$I:$I,MATCH($B10,'Controller Prices'!$B:$B,0))-$G10)</f>
        <v>90</v>
      </c>
    </row>
    <row r="11" customFormat="false" ht="15" hidden="false" customHeight="false" outlineLevel="0" collapsed="false">
      <c r="A11" s="2" t="s">
        <v>17</v>
      </c>
      <c r="B11" s="2" t="s">
        <v>22</v>
      </c>
      <c r="C11" s="2" t="s">
        <v>15</v>
      </c>
      <c r="D11" s="3" t="n">
        <v>1785</v>
      </c>
      <c r="E11" s="3" t="str">
        <f aca="false">IF(OR($C11="KilnStar",$D11="",INDEX('Controller Prices'!$D:$D,MATCH($B11,'Controller Prices'!$B:$B,0))=""),"",INDEX('Controller Prices'!$D:$D,MATCH($B11,'Controller Prices'!$B:$B,0))-$D11)</f>
        <v/>
      </c>
      <c r="F11" s="3" t="n">
        <f aca="false">IF(OR($D11="",INDEX('Controller Prices'!$E:$E,MATCH($B11,'Controller Prices'!$B:$B,0))=""),"",INDEX('Controller Prices'!$E:$E,MATCH($B11,'Controller Prices'!$B:$B,0))-$D11)</f>
        <v>150</v>
      </c>
      <c r="G11" s="3" t="n">
        <v>1071</v>
      </c>
      <c r="H11" s="3" t="str">
        <f aca="false">IF(OR($C11="KilnStar",$G11="",INDEX('Controller Prices'!$H:$H,MATCH($B11,'Controller Prices'!$B:$B,0))=""),"",INDEX('Controller Prices'!$H:$H,MATCH($B11,'Controller Prices'!$B:$B,0))-$G11)</f>
        <v/>
      </c>
      <c r="I11" s="3" t="n">
        <f aca="false">IF(OR($G11="",INDEX('Controller Prices'!$I:$I,MATCH($B11,'Controller Prices'!$B:$B,0))=""),"",INDEX('Controller Prices'!$I:$I,MATCH($B11,'Controller Prices'!$B:$B,0))-$G11)</f>
        <v>90</v>
      </c>
    </row>
    <row r="12" customFormat="false" ht="15" hidden="false" customHeight="false" outlineLevel="0" collapsed="false">
      <c r="A12" s="2" t="s">
        <v>17</v>
      </c>
      <c r="B12" s="2" t="s">
        <v>23</v>
      </c>
      <c r="C12" s="2" t="s">
        <v>15</v>
      </c>
      <c r="D12" s="3" t="n">
        <v>1965</v>
      </c>
      <c r="E12" s="3" t="str">
        <f aca="false">IF(OR($C12="KilnStar",$D12="",INDEX('Controller Prices'!$D:$D,MATCH($B12,'Controller Prices'!$B:$B,0))=""),"",INDEX('Controller Prices'!$D:$D,MATCH($B12,'Controller Prices'!$B:$B,0))-$D12)</f>
        <v/>
      </c>
      <c r="F12" s="3" t="n">
        <f aca="false">IF(OR($D12="",INDEX('Controller Prices'!$E:$E,MATCH($B12,'Controller Prices'!$B:$B,0))=""),"",INDEX('Controller Prices'!$E:$E,MATCH($B12,'Controller Prices'!$B:$B,0))-$D12)</f>
        <v>120</v>
      </c>
      <c r="G12" s="3" t="n">
        <v>1179</v>
      </c>
      <c r="H12" s="3" t="str">
        <f aca="false">IF(OR($C12="KilnStar",$G12="",INDEX('Controller Prices'!$H:$H,MATCH($B12,'Controller Prices'!$B:$B,0))=""),"",INDEX('Controller Prices'!$H:$H,MATCH($B12,'Controller Prices'!$B:$B,0))-$G12)</f>
        <v/>
      </c>
      <c r="I12" s="3" t="n">
        <f aca="false">IF(OR($G12="",INDEX('Controller Prices'!$I:$I,MATCH($B12,'Controller Prices'!$B:$B,0))=""),"",INDEX('Controller Prices'!$I:$I,MATCH($B12,'Controller Prices'!$B:$B,0))-$G12)</f>
        <v>72</v>
      </c>
    </row>
    <row r="13" customFormat="false" ht="15" hidden="false" customHeight="false" outlineLevel="0" collapsed="false">
      <c r="A13" s="2" t="s">
        <v>17</v>
      </c>
      <c r="B13" s="2" t="s">
        <v>24</v>
      </c>
      <c r="C13" s="2" t="s">
        <v>15</v>
      </c>
      <c r="D13" s="3" t="n">
        <v>2100</v>
      </c>
      <c r="E13" s="3" t="str">
        <f aca="false">IF(OR($C13="KilnStar",$D13="",INDEX('Controller Prices'!$D:$D,MATCH($B13,'Controller Prices'!$B:$B,0))=""),"",INDEX('Controller Prices'!$D:$D,MATCH($B13,'Controller Prices'!$B:$B,0))-$D13)</f>
        <v/>
      </c>
      <c r="F13" s="3" t="n">
        <f aca="false">IF(OR($D13="",INDEX('Controller Prices'!$E:$E,MATCH($B13,'Controller Prices'!$B:$B,0))=""),"",INDEX('Controller Prices'!$E:$E,MATCH($B13,'Controller Prices'!$B:$B,0))-$D13)</f>
        <v>120</v>
      </c>
      <c r="G13" s="3" t="n">
        <v>1260</v>
      </c>
      <c r="H13" s="3" t="str">
        <f aca="false">IF(OR($C13="KilnStar",$G13="",INDEX('Controller Prices'!$H:$H,MATCH($B13,'Controller Prices'!$B:$B,0))=""),"",INDEX('Controller Prices'!$H:$H,MATCH($B13,'Controller Prices'!$B:$B,0))-$G13)</f>
        <v/>
      </c>
      <c r="I13" s="3" t="n">
        <f aca="false">IF(OR($G13="",INDEX('Controller Prices'!$I:$I,MATCH($B13,'Controller Prices'!$B:$B,0))=""),"",INDEX('Controller Prices'!$I:$I,MATCH($B13,'Controller Prices'!$B:$B,0))-$G13)</f>
        <v>72</v>
      </c>
    </row>
    <row r="14" customFormat="false" ht="15" hidden="false" customHeight="false" outlineLevel="0" collapsed="false">
      <c r="A14" s="2" t="s">
        <v>17</v>
      </c>
      <c r="B14" s="2" t="s">
        <v>25</v>
      </c>
      <c r="C14" s="2" t="s">
        <v>15</v>
      </c>
      <c r="D14" s="3" t="n">
        <v>1585</v>
      </c>
      <c r="E14" s="3" t="str">
        <f aca="false">IF(OR($C14="KilnStar",$D14="",INDEX('Controller Prices'!$D:$D,MATCH($B14,'Controller Prices'!$B:$B,0))=""),"",INDEX('Controller Prices'!$D:$D,MATCH($B14,'Controller Prices'!$B:$B,0))-$D14)</f>
        <v/>
      </c>
      <c r="F14" s="3" t="n">
        <f aca="false">IF(OR($D14="",INDEX('Controller Prices'!$E:$E,MATCH($B14,'Controller Prices'!$B:$B,0))=""),"",INDEX('Controller Prices'!$E:$E,MATCH($B14,'Controller Prices'!$B:$B,0))-$D14)</f>
        <v>150</v>
      </c>
      <c r="G14" s="3" t="n">
        <v>951</v>
      </c>
      <c r="H14" s="3" t="str">
        <f aca="false">IF(OR($C14="KilnStar",$G14="",INDEX('Controller Prices'!$H:$H,MATCH($B14,'Controller Prices'!$B:$B,0))=""),"",INDEX('Controller Prices'!$H:$H,MATCH($B14,'Controller Prices'!$B:$B,0))-$G14)</f>
        <v/>
      </c>
      <c r="I14" s="3" t="n">
        <f aca="false">IF(OR($G14="",INDEX('Controller Prices'!$I:$I,MATCH($B14,'Controller Prices'!$B:$B,0))=""),"",INDEX('Controller Prices'!$I:$I,MATCH($B14,'Controller Prices'!$B:$B,0))-$G14)</f>
        <v>90</v>
      </c>
    </row>
    <row r="15" customFormat="false" ht="15" hidden="false" customHeight="false" outlineLevel="0" collapsed="false">
      <c r="A15" s="2" t="s">
        <v>17</v>
      </c>
      <c r="B15" s="2" t="s">
        <v>26</v>
      </c>
      <c r="C15" s="2" t="s">
        <v>15</v>
      </c>
      <c r="D15" s="3" t="n">
        <v>1725</v>
      </c>
      <c r="E15" s="3" t="str">
        <f aca="false">IF(OR($C15="KilnStar",$D15="",INDEX('Controller Prices'!$D:$D,MATCH($B15,'Controller Prices'!$B:$B,0))=""),"",INDEX('Controller Prices'!$D:$D,MATCH($B15,'Controller Prices'!$B:$B,0))-$D15)</f>
        <v/>
      </c>
      <c r="F15" s="3" t="n">
        <f aca="false">IF(OR($D15="",INDEX('Controller Prices'!$E:$E,MATCH($B15,'Controller Prices'!$B:$B,0))=""),"",INDEX('Controller Prices'!$E:$E,MATCH($B15,'Controller Prices'!$B:$B,0))-$D15)</f>
        <v>150</v>
      </c>
      <c r="G15" s="3" t="n">
        <v>1035</v>
      </c>
      <c r="H15" s="3" t="str">
        <f aca="false">IF(OR($C15="KilnStar",$G15="",INDEX('Controller Prices'!$H:$H,MATCH($B15,'Controller Prices'!$B:$B,0))=""),"",INDEX('Controller Prices'!$H:$H,MATCH($B15,'Controller Prices'!$B:$B,0))-$G15)</f>
        <v/>
      </c>
      <c r="I15" s="3" t="n">
        <f aca="false">IF(OR($G15="",INDEX('Controller Prices'!$I:$I,MATCH($B15,'Controller Prices'!$B:$B,0))=""),"",INDEX('Controller Prices'!$I:$I,MATCH($B15,'Controller Prices'!$B:$B,0))-$G15)</f>
        <v>90</v>
      </c>
    </row>
    <row r="16" customFormat="false" ht="15" hidden="false" customHeight="false" outlineLevel="0" collapsed="false">
      <c r="A16" s="2" t="s">
        <v>17</v>
      </c>
      <c r="B16" s="2" t="s">
        <v>27</v>
      </c>
      <c r="C16" s="2" t="s">
        <v>15</v>
      </c>
      <c r="D16" s="3" t="n">
        <v>1850</v>
      </c>
      <c r="E16" s="3" t="str">
        <f aca="false">IF(OR($C16="KilnStar",$D16="",INDEX('Controller Prices'!$D:$D,MATCH($B16,'Controller Prices'!$B:$B,0))=""),"",INDEX('Controller Prices'!$D:$D,MATCH($B16,'Controller Prices'!$B:$B,0))-$D16)</f>
        <v/>
      </c>
      <c r="F16" s="3" t="n">
        <f aca="false">IF(OR($D16="",INDEX('Controller Prices'!$E:$E,MATCH($B16,'Controller Prices'!$B:$B,0))=""),"",INDEX('Controller Prices'!$E:$E,MATCH($B16,'Controller Prices'!$B:$B,0))-$D16)</f>
        <v>150</v>
      </c>
      <c r="G16" s="3" t="n">
        <v>1110</v>
      </c>
      <c r="H16" s="3" t="str">
        <f aca="false">IF(OR($C16="KilnStar",$G16="",INDEX('Controller Prices'!$H:$H,MATCH($B16,'Controller Prices'!$B:$B,0))=""),"",INDEX('Controller Prices'!$H:$H,MATCH($B16,'Controller Prices'!$B:$B,0))-$G16)</f>
        <v/>
      </c>
      <c r="I16" s="3" t="n">
        <f aca="false">IF(OR($G16="",INDEX('Controller Prices'!$I:$I,MATCH($B16,'Controller Prices'!$B:$B,0))=""),"",INDEX('Controller Prices'!$I:$I,MATCH($B16,'Controller Prices'!$B:$B,0))-$G16)</f>
        <v>90</v>
      </c>
    </row>
    <row r="17" customFormat="false" ht="15" hidden="false" customHeight="false" outlineLevel="0" collapsed="false">
      <c r="A17" s="2" t="s">
        <v>17</v>
      </c>
      <c r="B17" s="2" t="s">
        <v>28</v>
      </c>
      <c r="C17" s="2" t="s">
        <v>15</v>
      </c>
      <c r="D17" s="3" t="n">
        <v>2050</v>
      </c>
      <c r="E17" s="3" t="str">
        <f aca="false">IF(OR($C17="KilnStar",$D17="",INDEX('Controller Prices'!$D:$D,MATCH($B17,'Controller Prices'!$B:$B,0))=""),"",INDEX('Controller Prices'!$D:$D,MATCH($B17,'Controller Prices'!$B:$B,0))-$D17)</f>
        <v/>
      </c>
      <c r="F17" s="3" t="n">
        <f aca="false">IF(OR($D17="",INDEX('Controller Prices'!$E:$E,MATCH($B17,'Controller Prices'!$B:$B,0))=""),"",INDEX('Controller Prices'!$E:$E,MATCH($B17,'Controller Prices'!$B:$B,0))-$D17)</f>
        <v>150</v>
      </c>
      <c r="G17" s="3" t="n">
        <v>1230</v>
      </c>
      <c r="H17" s="3" t="str">
        <f aca="false">IF(OR($C17="KilnStar",$G17="",INDEX('Controller Prices'!$H:$H,MATCH($B17,'Controller Prices'!$B:$B,0))=""),"",INDEX('Controller Prices'!$H:$H,MATCH($B17,'Controller Prices'!$B:$B,0))-$G17)</f>
        <v/>
      </c>
      <c r="I17" s="3" t="n">
        <f aca="false">IF(OR($G17="",INDEX('Controller Prices'!$I:$I,MATCH($B17,'Controller Prices'!$B:$B,0))=""),"",INDEX('Controller Prices'!$I:$I,MATCH($B17,'Controller Prices'!$B:$B,0))-$G17)</f>
        <v>90</v>
      </c>
    </row>
    <row r="18" customFormat="false" ht="15" hidden="false" customHeight="false" outlineLevel="0" collapsed="false">
      <c r="A18" s="2" t="s">
        <v>17</v>
      </c>
      <c r="B18" s="2" t="s">
        <v>29</v>
      </c>
      <c r="C18" s="2" t="s">
        <v>15</v>
      </c>
      <c r="D18" s="3" t="n">
        <v>2300</v>
      </c>
      <c r="E18" s="3" t="str">
        <f aca="false">IF(OR($C18="KilnStar",$D18="",INDEX('Controller Prices'!$D:$D,MATCH($B18,'Controller Prices'!$B:$B,0))=""),"",INDEX('Controller Prices'!$D:$D,MATCH($B18,'Controller Prices'!$B:$B,0))-$D18)</f>
        <v/>
      </c>
      <c r="F18" s="3" t="n">
        <f aca="false">IF(OR($D18="",INDEX('Controller Prices'!$E:$E,MATCH($B18,'Controller Prices'!$B:$B,0))=""),"",INDEX('Controller Prices'!$E:$E,MATCH($B18,'Controller Prices'!$B:$B,0))-$D18)</f>
        <v>150</v>
      </c>
      <c r="G18" s="3" t="n">
        <v>1380</v>
      </c>
      <c r="H18" s="3" t="str">
        <f aca="false">IF(OR($C18="KilnStar",$G18="",INDEX('Controller Prices'!$H:$H,MATCH($B18,'Controller Prices'!$B:$B,0))=""),"",INDEX('Controller Prices'!$H:$H,MATCH($B18,'Controller Prices'!$B:$B,0))-$G18)</f>
        <v/>
      </c>
      <c r="I18" s="3" t="n">
        <f aca="false">IF(OR($G18="",INDEX('Controller Prices'!$I:$I,MATCH($B18,'Controller Prices'!$B:$B,0))=""),"",INDEX('Controller Prices'!$I:$I,MATCH($B18,'Controller Prices'!$B:$B,0))-$G18)</f>
        <v>90</v>
      </c>
    </row>
    <row r="19" customFormat="false" ht="15" hidden="false" customHeight="false" outlineLevel="0" collapsed="false">
      <c r="A19" s="2" t="s">
        <v>17</v>
      </c>
      <c r="B19" s="2" t="s">
        <v>30</v>
      </c>
      <c r="C19" s="2" t="s">
        <v>15</v>
      </c>
      <c r="D19" s="3" t="n">
        <v>2500</v>
      </c>
      <c r="E19" s="3" t="str">
        <f aca="false">IF(OR($C19="KilnStar",$D19="",INDEX('Controller Prices'!$D:$D,MATCH($B19,'Controller Prices'!$B:$B,0))=""),"",INDEX('Controller Prices'!$D:$D,MATCH($B19,'Controller Prices'!$B:$B,0))-$D19)</f>
        <v/>
      </c>
      <c r="F19" s="3" t="n">
        <f aca="false">IF(OR($D19="",INDEX('Controller Prices'!$E:$E,MATCH($B19,'Controller Prices'!$B:$B,0))=""),"",INDEX('Controller Prices'!$E:$E,MATCH($B19,'Controller Prices'!$B:$B,0))-$D19)</f>
        <v>150</v>
      </c>
      <c r="G19" s="3" t="n">
        <v>1500</v>
      </c>
      <c r="H19" s="3" t="str">
        <f aca="false">IF(OR($C19="KilnStar",$G19="",INDEX('Controller Prices'!$H:$H,MATCH($B19,'Controller Prices'!$B:$B,0))=""),"",INDEX('Controller Prices'!$H:$H,MATCH($B19,'Controller Prices'!$B:$B,0))-$G19)</f>
        <v/>
      </c>
      <c r="I19" s="3" t="n">
        <f aca="false">IF(OR($G19="",INDEX('Controller Prices'!$I:$I,MATCH($B19,'Controller Prices'!$B:$B,0))=""),"",INDEX('Controller Prices'!$I:$I,MATCH($B19,'Controller Prices'!$B:$B,0))-$G19)</f>
        <v>90</v>
      </c>
    </row>
    <row r="20" customFormat="false" ht="15" hidden="false" customHeight="false" outlineLevel="0" collapsed="false">
      <c r="A20" s="2" t="s">
        <v>17</v>
      </c>
      <c r="B20" s="2" t="s">
        <v>31</v>
      </c>
      <c r="C20" s="2" t="s">
        <v>15</v>
      </c>
      <c r="D20" s="3" t="n">
        <v>2350</v>
      </c>
      <c r="E20" s="3" t="str">
        <f aca="false">IF(OR($C20="KilnStar",$D20="",INDEX('Controller Prices'!$D:$D,MATCH($B20,'Controller Prices'!$B:$B,0))=""),"",INDEX('Controller Prices'!$D:$D,MATCH($B20,'Controller Prices'!$B:$B,0))-$D20)</f>
        <v/>
      </c>
      <c r="F20" s="3" t="n">
        <f aca="false">IF(OR($D20="",INDEX('Controller Prices'!$E:$E,MATCH($B20,'Controller Prices'!$B:$B,0))=""),"",INDEX('Controller Prices'!$E:$E,MATCH($B20,'Controller Prices'!$B:$B,0))-$D20)</f>
        <v>150</v>
      </c>
      <c r="G20" s="3" t="n">
        <v>1410</v>
      </c>
      <c r="H20" s="3" t="str">
        <f aca="false">IF(OR($C20="KilnStar",$G20="",INDEX('Controller Prices'!$H:$H,MATCH($B20,'Controller Prices'!$B:$B,0))=""),"",INDEX('Controller Prices'!$H:$H,MATCH($B20,'Controller Prices'!$B:$B,0))-$G20)</f>
        <v/>
      </c>
      <c r="I20" s="3" t="n">
        <f aca="false">IF(OR($G20="",INDEX('Controller Prices'!$I:$I,MATCH($B20,'Controller Prices'!$B:$B,0))=""),"",INDEX('Controller Prices'!$I:$I,MATCH($B20,'Controller Prices'!$B:$B,0))-$G20)</f>
        <v>90</v>
      </c>
    </row>
    <row r="21" customFormat="false" ht="15" hidden="false" customHeight="false" outlineLevel="0" collapsed="false">
      <c r="A21" s="2" t="s">
        <v>17</v>
      </c>
      <c r="B21" s="2" t="s">
        <v>32</v>
      </c>
      <c r="C21" s="2" t="s">
        <v>15</v>
      </c>
      <c r="D21" s="3" t="n">
        <v>2550</v>
      </c>
      <c r="E21" s="3" t="str">
        <f aca="false">IF(OR($C21="KilnStar",$D21="",INDEX('Controller Prices'!$D:$D,MATCH($B21,'Controller Prices'!$B:$B,0))=""),"",INDEX('Controller Prices'!$D:$D,MATCH($B21,'Controller Prices'!$B:$B,0))-$D21)</f>
        <v/>
      </c>
      <c r="F21" s="3" t="n">
        <f aca="false">IF(OR($D21="",INDEX('Controller Prices'!$E:$E,MATCH($B21,'Controller Prices'!$B:$B,0))=""),"",INDEX('Controller Prices'!$E:$E,MATCH($B21,'Controller Prices'!$B:$B,0))-$D21)</f>
        <v>150</v>
      </c>
      <c r="G21" s="3" t="n">
        <v>1530</v>
      </c>
      <c r="H21" s="3" t="str">
        <f aca="false">IF(OR($C21="KilnStar",$G21="",INDEX('Controller Prices'!$H:$H,MATCH($B21,'Controller Prices'!$B:$B,0))=""),"",INDEX('Controller Prices'!$H:$H,MATCH($B21,'Controller Prices'!$B:$B,0))-$G21)</f>
        <v/>
      </c>
      <c r="I21" s="3" t="n">
        <f aca="false">IF(OR($G21="",INDEX('Controller Prices'!$I:$I,MATCH($B21,'Controller Prices'!$B:$B,0))=""),"",INDEX('Controller Prices'!$I:$I,MATCH($B21,'Controller Prices'!$B:$B,0))-$G21)</f>
        <v>90</v>
      </c>
    </row>
    <row r="22" customFormat="false" ht="15" hidden="false" customHeight="false" outlineLevel="0" collapsed="false">
      <c r="A22" s="2" t="s">
        <v>17</v>
      </c>
      <c r="B22" s="2" t="s">
        <v>33</v>
      </c>
      <c r="C22" s="2" t="s">
        <v>15</v>
      </c>
      <c r="D22" s="3" t="n">
        <v>2800</v>
      </c>
      <c r="E22" s="3" t="str">
        <f aca="false">IF(OR($C22="KilnStar",$D22="",INDEX('Controller Prices'!$D:$D,MATCH($B22,'Controller Prices'!$B:$B,0))=""),"",INDEX('Controller Prices'!$D:$D,MATCH($B22,'Controller Prices'!$B:$B,0))-$D22)</f>
        <v/>
      </c>
      <c r="F22" s="3" t="n">
        <f aca="false">IF(OR($D22="",INDEX('Controller Prices'!$E:$E,MATCH($B22,'Controller Prices'!$B:$B,0))=""),"",INDEX('Controller Prices'!$E:$E,MATCH($B22,'Controller Prices'!$B:$B,0))-$D22)</f>
        <v>150</v>
      </c>
      <c r="G22" s="3" t="n">
        <v>1680</v>
      </c>
      <c r="H22" s="3" t="str">
        <f aca="false">IF(OR($C22="KilnStar",$G22="",INDEX('Controller Prices'!$H:$H,MATCH($B22,'Controller Prices'!$B:$B,0))=""),"",INDEX('Controller Prices'!$H:$H,MATCH($B22,'Controller Prices'!$B:$B,0))-$G22)</f>
        <v/>
      </c>
      <c r="I22" s="3" t="n">
        <f aca="false">IF(OR($G22="",INDEX('Controller Prices'!$I:$I,MATCH($B22,'Controller Prices'!$B:$B,0))=""),"",INDEX('Controller Prices'!$I:$I,MATCH($B22,'Controller Prices'!$B:$B,0))-$G22)</f>
        <v>90</v>
      </c>
    </row>
    <row r="23" customFormat="false" ht="15" hidden="false" customHeight="false" outlineLevel="0" collapsed="false">
      <c r="A23" s="2" t="s">
        <v>17</v>
      </c>
      <c r="B23" s="2" t="s">
        <v>34</v>
      </c>
      <c r="C23" s="2" t="s">
        <v>15</v>
      </c>
      <c r="D23" s="3" t="n">
        <v>2850</v>
      </c>
      <c r="E23" s="3" t="str">
        <f aca="false">IF(OR($C23="KilnStar",$D23="",INDEX('Controller Prices'!$D:$D,MATCH($B23,'Controller Prices'!$B:$B,0))=""),"",INDEX('Controller Prices'!$D:$D,MATCH($B23,'Controller Prices'!$B:$B,0))-$D23)</f>
        <v/>
      </c>
      <c r="F23" s="3" t="n">
        <f aca="false">IF(OR($D23="",INDEX('Controller Prices'!$E:$E,MATCH($B23,'Controller Prices'!$B:$B,0))=""),"",INDEX('Controller Prices'!$E:$E,MATCH($B23,'Controller Prices'!$B:$B,0))-$D23)</f>
        <v>150</v>
      </c>
      <c r="G23" s="3" t="n">
        <v>1710</v>
      </c>
      <c r="H23" s="3" t="str">
        <f aca="false">IF(OR($C23="KilnStar",$G23="",INDEX('Controller Prices'!$H:$H,MATCH($B23,'Controller Prices'!$B:$B,0))=""),"",INDEX('Controller Prices'!$H:$H,MATCH($B23,'Controller Prices'!$B:$B,0))-$G23)</f>
        <v/>
      </c>
      <c r="I23" s="3" t="n">
        <f aca="false">IF(OR($G23="",INDEX('Controller Prices'!$I:$I,MATCH($B23,'Controller Prices'!$B:$B,0))=""),"",INDEX('Controller Prices'!$I:$I,MATCH($B23,'Controller Prices'!$B:$B,0))-$G23)</f>
        <v>90</v>
      </c>
    </row>
    <row r="24" customFormat="false" ht="15" hidden="false" customHeight="false" outlineLevel="0" collapsed="false">
      <c r="A24" s="2" t="s">
        <v>17</v>
      </c>
      <c r="B24" s="2" t="s">
        <v>35</v>
      </c>
      <c r="C24" s="2" t="s">
        <v>15</v>
      </c>
      <c r="D24" s="3" t="n">
        <v>3050</v>
      </c>
      <c r="E24" s="3" t="str">
        <f aca="false">IF(OR($C24="KilnStar",$D24="",INDEX('Controller Prices'!$D:$D,MATCH($B24,'Controller Prices'!$B:$B,0))=""),"",INDEX('Controller Prices'!$D:$D,MATCH($B24,'Controller Prices'!$B:$B,0))-$D24)</f>
        <v/>
      </c>
      <c r="F24" s="3" t="n">
        <f aca="false">IF(OR($D24="",INDEX('Controller Prices'!$E:$E,MATCH($B24,'Controller Prices'!$B:$B,0))=""),"",INDEX('Controller Prices'!$E:$E,MATCH($B24,'Controller Prices'!$B:$B,0))-$D24)</f>
        <v>150</v>
      </c>
      <c r="G24" s="3" t="n">
        <v>1830</v>
      </c>
      <c r="H24" s="3" t="str">
        <f aca="false">IF(OR($C24="KilnStar",$G24="",INDEX('Controller Prices'!$H:$H,MATCH($B24,'Controller Prices'!$B:$B,0))=""),"",INDEX('Controller Prices'!$H:$H,MATCH($B24,'Controller Prices'!$B:$B,0))-$G24)</f>
        <v/>
      </c>
      <c r="I24" s="3" t="n">
        <f aca="false">IF(OR($G24="",INDEX('Controller Prices'!$I:$I,MATCH($B24,'Controller Prices'!$B:$B,0))=""),"",INDEX('Controller Prices'!$I:$I,MATCH($B24,'Controller Prices'!$B:$B,0))-$G24)</f>
        <v>90</v>
      </c>
    </row>
    <row r="25" customFormat="false" ht="15" hidden="false" customHeight="false" outlineLevel="0" collapsed="false">
      <c r="A25" s="2" t="s">
        <v>17</v>
      </c>
      <c r="B25" s="2" t="s">
        <v>36</v>
      </c>
      <c r="C25" s="2" t="s">
        <v>15</v>
      </c>
      <c r="D25" s="3" t="n">
        <v>3295</v>
      </c>
      <c r="E25" s="3" t="str">
        <f aca="false">IF(OR($C25="KilnStar",$D25="",INDEX('Controller Prices'!$D:$D,MATCH($B25,'Controller Prices'!$B:$B,0))=""),"",INDEX('Controller Prices'!$D:$D,MATCH($B25,'Controller Prices'!$B:$B,0))-$D25)</f>
        <v/>
      </c>
      <c r="F25" s="3" t="n">
        <f aca="false">IF(OR($D25="",INDEX('Controller Prices'!$E:$E,MATCH($B25,'Controller Prices'!$B:$B,0))=""),"",INDEX('Controller Prices'!$E:$E,MATCH($B25,'Controller Prices'!$B:$B,0))-$D25)</f>
        <v>150</v>
      </c>
      <c r="G25" s="3" t="n">
        <v>1977</v>
      </c>
      <c r="H25" s="3" t="str">
        <f aca="false">IF(OR($C25="KilnStar",$G25="",INDEX('Controller Prices'!$H:$H,MATCH($B25,'Controller Prices'!$B:$B,0))=""),"",INDEX('Controller Prices'!$H:$H,MATCH($B25,'Controller Prices'!$B:$B,0))-$G25)</f>
        <v/>
      </c>
      <c r="I25" s="3" t="n">
        <f aca="false">IF(OR($G25="",INDEX('Controller Prices'!$I:$I,MATCH($B25,'Controller Prices'!$B:$B,0))=""),"",INDEX('Controller Prices'!$I:$I,MATCH($B25,'Controller Prices'!$B:$B,0))-$G25)</f>
        <v>90</v>
      </c>
    </row>
    <row r="26" customFormat="false" ht="15" hidden="false" customHeight="false" outlineLevel="0" collapsed="false">
      <c r="A26" s="2" t="s">
        <v>37</v>
      </c>
      <c r="B26" s="2" t="s">
        <v>38</v>
      </c>
      <c r="C26" s="2" t="s">
        <v>15</v>
      </c>
      <c r="D26" s="3" t="n">
        <v>1955</v>
      </c>
      <c r="E26" s="3" t="str">
        <f aca="false">IF(OR($C26="KilnStar",$D26="",INDEX('Controller Prices'!$D:$D,MATCH($B26,'Controller Prices'!$B:$B,0))=""),"",INDEX('Controller Prices'!$D:$D,MATCH($B26,'Controller Prices'!$B:$B,0))-$D26)</f>
        <v/>
      </c>
      <c r="F26" s="3" t="n">
        <f aca="false">IF(OR($D26="",INDEX('Controller Prices'!$E:$E,MATCH($B26,'Controller Prices'!$B:$B,0))=""),"",INDEX('Controller Prices'!$E:$E,MATCH($B26,'Controller Prices'!$B:$B,0))-$D26)</f>
        <v>150</v>
      </c>
      <c r="G26" s="3" t="n">
        <v>1173</v>
      </c>
      <c r="H26" s="3" t="str">
        <f aca="false">IF(OR($C26="KilnStar",$G26="",INDEX('Controller Prices'!$H:$H,MATCH($B26,'Controller Prices'!$B:$B,0))=""),"",INDEX('Controller Prices'!$H:$H,MATCH($B26,'Controller Prices'!$B:$B,0))-$G26)</f>
        <v/>
      </c>
      <c r="I26" s="3" t="n">
        <f aca="false">IF(OR($G26="",INDEX('Controller Prices'!$I:$I,MATCH($B26,'Controller Prices'!$B:$B,0))=""),"",INDEX('Controller Prices'!$I:$I,MATCH($B26,'Controller Prices'!$B:$B,0))-$G26)</f>
        <v>90</v>
      </c>
    </row>
    <row r="27" customFormat="false" ht="15" hidden="false" customHeight="false" outlineLevel="0" collapsed="false">
      <c r="A27" s="2" t="s">
        <v>37</v>
      </c>
      <c r="B27" s="2" t="s">
        <v>39</v>
      </c>
      <c r="C27" s="2" t="s">
        <v>15</v>
      </c>
      <c r="D27" s="3" t="n">
        <v>2075</v>
      </c>
      <c r="E27" s="3" t="str">
        <f aca="false">IF(OR($C27="KilnStar",$D27="",INDEX('Controller Prices'!$D:$D,MATCH($B27,'Controller Prices'!$B:$B,0))=""),"",INDEX('Controller Prices'!$D:$D,MATCH($B27,'Controller Prices'!$B:$B,0))-$D27)</f>
        <v/>
      </c>
      <c r="F27" s="3" t="n">
        <f aca="false">IF(OR($D27="",INDEX('Controller Prices'!$E:$E,MATCH($B27,'Controller Prices'!$B:$B,0))=""),"",INDEX('Controller Prices'!$E:$E,MATCH($B27,'Controller Prices'!$B:$B,0))-$D27)</f>
        <v>150</v>
      </c>
      <c r="G27" s="3" t="n">
        <v>1245</v>
      </c>
      <c r="H27" s="3" t="str">
        <f aca="false">IF(OR($C27="KilnStar",$G27="",INDEX('Controller Prices'!$H:$H,MATCH($B27,'Controller Prices'!$B:$B,0))=""),"",INDEX('Controller Prices'!$H:$H,MATCH($B27,'Controller Prices'!$B:$B,0))-$G27)</f>
        <v/>
      </c>
      <c r="I27" s="3" t="n">
        <f aca="false">IF(OR($G27="",INDEX('Controller Prices'!$I:$I,MATCH($B27,'Controller Prices'!$B:$B,0))=""),"",INDEX('Controller Prices'!$I:$I,MATCH($B27,'Controller Prices'!$B:$B,0))-$G27)</f>
        <v>90</v>
      </c>
    </row>
    <row r="28" customFormat="false" ht="15" hidden="false" customHeight="false" outlineLevel="0" collapsed="false">
      <c r="A28" s="2" t="s">
        <v>37</v>
      </c>
      <c r="B28" s="2" t="s">
        <v>40</v>
      </c>
      <c r="C28" s="2" t="s">
        <v>15</v>
      </c>
      <c r="D28" s="3" t="n">
        <v>2230</v>
      </c>
      <c r="E28" s="3" t="str">
        <f aca="false">IF(OR($C28="KilnStar",$D28="",INDEX('Controller Prices'!$D:$D,MATCH($B28,'Controller Prices'!$B:$B,0))=""),"",INDEX('Controller Prices'!$D:$D,MATCH($B28,'Controller Prices'!$B:$B,0))-$D28)</f>
        <v/>
      </c>
      <c r="F28" s="3" t="n">
        <f aca="false">IF(OR($D28="",INDEX('Controller Prices'!$E:$E,MATCH($B28,'Controller Prices'!$B:$B,0))=""),"",INDEX('Controller Prices'!$E:$E,MATCH($B28,'Controller Prices'!$B:$B,0))-$D28)</f>
        <v>150</v>
      </c>
      <c r="G28" s="3" t="n">
        <v>1338</v>
      </c>
      <c r="H28" s="3" t="str">
        <f aca="false">IF(OR($C28="KilnStar",$G28="",INDEX('Controller Prices'!$H:$H,MATCH($B28,'Controller Prices'!$B:$B,0))=""),"",INDEX('Controller Prices'!$H:$H,MATCH($B28,'Controller Prices'!$B:$B,0))-$G28)</f>
        <v/>
      </c>
      <c r="I28" s="3" t="n">
        <f aca="false">IF(OR($G28="",INDEX('Controller Prices'!$I:$I,MATCH($B28,'Controller Prices'!$B:$B,0))=""),"",INDEX('Controller Prices'!$I:$I,MATCH($B28,'Controller Prices'!$B:$B,0))-$G28)</f>
        <v>90</v>
      </c>
    </row>
    <row r="29" customFormat="false" ht="15" hidden="false" customHeight="false" outlineLevel="0" collapsed="false">
      <c r="A29" s="2" t="s">
        <v>37</v>
      </c>
      <c r="B29" s="2" t="s">
        <v>41</v>
      </c>
      <c r="C29" s="2" t="s">
        <v>15</v>
      </c>
      <c r="D29" s="3" t="n">
        <v>2455</v>
      </c>
      <c r="E29" s="3" t="str">
        <f aca="false">IF(OR($C29="KilnStar",$D29="",INDEX('Controller Prices'!$D:$D,MATCH($B29,'Controller Prices'!$B:$B,0))=""),"",INDEX('Controller Prices'!$D:$D,MATCH($B29,'Controller Prices'!$B:$B,0))-$D29)</f>
        <v/>
      </c>
      <c r="F29" s="3" t="n">
        <f aca="false">IF(OR($D29="",INDEX('Controller Prices'!$E:$E,MATCH($B29,'Controller Prices'!$B:$B,0))=""),"",INDEX('Controller Prices'!$E:$E,MATCH($B29,'Controller Prices'!$B:$B,0))-$D29)</f>
        <v>150</v>
      </c>
      <c r="G29" s="3" t="n">
        <v>1473</v>
      </c>
      <c r="H29" s="3" t="str">
        <f aca="false">IF(OR($C29="KilnStar",$G29="",INDEX('Controller Prices'!$H:$H,MATCH($B29,'Controller Prices'!$B:$B,0))=""),"",INDEX('Controller Prices'!$H:$H,MATCH($B29,'Controller Prices'!$B:$B,0))-$G29)</f>
        <v/>
      </c>
      <c r="I29" s="3" t="n">
        <f aca="false">IF(OR($G29="",INDEX('Controller Prices'!$I:$I,MATCH($B29,'Controller Prices'!$B:$B,0))=""),"",INDEX('Controller Prices'!$I:$I,MATCH($B29,'Controller Prices'!$B:$B,0))-$G29)</f>
        <v>90</v>
      </c>
    </row>
    <row r="30" customFormat="false" ht="15" hidden="false" customHeight="false" outlineLevel="0" collapsed="false">
      <c r="A30" s="2" t="s">
        <v>37</v>
      </c>
      <c r="B30" s="2" t="s">
        <v>42</v>
      </c>
      <c r="C30" s="2" t="s">
        <v>15</v>
      </c>
      <c r="D30" s="3" t="n">
        <v>2625</v>
      </c>
      <c r="E30" s="3" t="str">
        <f aca="false">IF(OR($C30="KilnStar",$D30="",INDEX('Controller Prices'!$D:$D,MATCH($B30,'Controller Prices'!$B:$B,0))=""),"",INDEX('Controller Prices'!$D:$D,MATCH($B30,'Controller Prices'!$B:$B,0))-$D30)</f>
        <v/>
      </c>
      <c r="F30" s="3" t="n">
        <f aca="false">IF(OR($D30="",INDEX('Controller Prices'!$E:$E,MATCH($B30,'Controller Prices'!$B:$B,0))=""),"",INDEX('Controller Prices'!$E:$E,MATCH($B30,'Controller Prices'!$B:$B,0))-$D30)</f>
        <v>150</v>
      </c>
      <c r="G30" s="3" t="n">
        <v>1575</v>
      </c>
      <c r="H30" s="3" t="str">
        <f aca="false">IF(OR($C30="KilnStar",$G30="",INDEX('Controller Prices'!$H:$H,MATCH($B30,'Controller Prices'!$B:$B,0))=""),"",INDEX('Controller Prices'!$H:$H,MATCH($B30,'Controller Prices'!$B:$B,0))-$G30)</f>
        <v/>
      </c>
      <c r="I30" s="3" t="n">
        <f aca="false">IF(OR($G30="",INDEX('Controller Prices'!$I:$I,MATCH($B30,'Controller Prices'!$B:$B,0))=""),"",INDEX('Controller Prices'!$I:$I,MATCH($B30,'Controller Prices'!$B:$B,0))-$G30)</f>
        <v>90</v>
      </c>
    </row>
    <row r="31" customFormat="false" ht="15" hidden="false" customHeight="false" outlineLevel="0" collapsed="false">
      <c r="A31" s="2" t="s">
        <v>37</v>
      </c>
      <c r="B31" s="2" t="s">
        <v>43</v>
      </c>
      <c r="C31" s="2" t="s">
        <v>15</v>
      </c>
      <c r="D31" s="3" t="n">
        <v>3100</v>
      </c>
      <c r="E31" s="3" t="str">
        <f aca="false">IF(OR($C31="KilnStar",$D31="",INDEX('Controller Prices'!$D:$D,MATCH($B31,'Controller Prices'!$B:$B,0))=""),"",INDEX('Controller Prices'!$D:$D,MATCH($B31,'Controller Prices'!$B:$B,0))-$D31)</f>
        <v/>
      </c>
      <c r="F31" s="3" t="n">
        <f aca="false">IF(OR($D31="",INDEX('Controller Prices'!$E:$E,MATCH($B31,'Controller Prices'!$B:$B,0))=""),"",INDEX('Controller Prices'!$E:$E,MATCH($B31,'Controller Prices'!$B:$B,0))-$D31)</f>
        <v>150</v>
      </c>
      <c r="G31" s="3" t="n">
        <v>1860</v>
      </c>
      <c r="H31" s="3" t="str">
        <f aca="false">IF(OR($C31="KilnStar",$G31="",INDEX('Controller Prices'!$H:$H,MATCH($B31,'Controller Prices'!$B:$B,0))=""),"",INDEX('Controller Prices'!$H:$H,MATCH($B31,'Controller Prices'!$B:$B,0))-$G31)</f>
        <v/>
      </c>
      <c r="I31" s="3" t="n">
        <f aca="false">IF(OR($G31="",INDEX('Controller Prices'!$I:$I,MATCH($B31,'Controller Prices'!$B:$B,0))=""),"",INDEX('Controller Prices'!$I:$I,MATCH($B31,'Controller Prices'!$B:$B,0))-$G31)</f>
        <v>90</v>
      </c>
    </row>
    <row r="32" customFormat="false" ht="15" hidden="false" customHeight="false" outlineLevel="0" collapsed="false">
      <c r="A32" s="2" t="s">
        <v>37</v>
      </c>
      <c r="B32" s="2" t="s">
        <v>44</v>
      </c>
      <c r="C32" s="2" t="s">
        <v>15</v>
      </c>
      <c r="D32" s="3" t="n">
        <v>3300</v>
      </c>
      <c r="E32" s="3" t="str">
        <f aca="false">IF(OR($C32="KilnStar",$D32="",INDEX('Controller Prices'!$D:$D,MATCH($B32,'Controller Prices'!$B:$B,0))=""),"",INDEX('Controller Prices'!$D:$D,MATCH($B32,'Controller Prices'!$B:$B,0))-$D32)</f>
        <v/>
      </c>
      <c r="F32" s="3" t="n">
        <f aca="false">IF(OR($D32="",INDEX('Controller Prices'!$E:$E,MATCH($B32,'Controller Prices'!$B:$B,0))=""),"",INDEX('Controller Prices'!$E:$E,MATCH($B32,'Controller Prices'!$B:$B,0))-$D32)</f>
        <v>150</v>
      </c>
      <c r="G32" s="3" t="n">
        <v>1980</v>
      </c>
      <c r="H32" s="3" t="str">
        <f aca="false">IF(OR($C32="KilnStar",$G32="",INDEX('Controller Prices'!$H:$H,MATCH($B32,'Controller Prices'!$B:$B,0))=""),"",INDEX('Controller Prices'!$H:$H,MATCH($B32,'Controller Prices'!$B:$B,0))-$G32)</f>
        <v/>
      </c>
      <c r="I32" s="3" t="n">
        <f aca="false">IF(OR($G32="",INDEX('Controller Prices'!$I:$I,MATCH($B32,'Controller Prices'!$B:$B,0))=""),"",INDEX('Controller Prices'!$I:$I,MATCH($B32,'Controller Prices'!$B:$B,0))-$G32)</f>
        <v>90</v>
      </c>
    </row>
    <row r="33" customFormat="false" ht="15" hidden="false" customHeight="false" outlineLevel="0" collapsed="false">
      <c r="A33" s="2" t="s">
        <v>45</v>
      </c>
      <c r="B33" s="2" t="s">
        <v>46</v>
      </c>
      <c r="C33" s="2" t="s">
        <v>15</v>
      </c>
      <c r="D33" s="3" t="n">
        <v>2025</v>
      </c>
      <c r="E33" s="3" t="str">
        <f aca="false">IF(OR($C33="KilnStar",$D33="",INDEX('Controller Prices'!$D:$D,MATCH($B33,'Controller Prices'!$B:$B,0))=""),"",INDEX('Controller Prices'!$D:$D,MATCH($B33,'Controller Prices'!$B:$B,0))-$D33)</f>
        <v/>
      </c>
      <c r="F33" s="3" t="n">
        <f aca="false">IF(OR($D33="",INDEX('Controller Prices'!$E:$E,MATCH($B33,'Controller Prices'!$B:$B,0))=""),"",INDEX('Controller Prices'!$E:$E,MATCH($B33,'Controller Prices'!$B:$B,0))-$D33)</f>
        <v>150</v>
      </c>
      <c r="G33" s="3" t="n">
        <v>1215</v>
      </c>
      <c r="H33" s="3" t="str">
        <f aca="false">IF(OR($C33="KilnStar",$G33="",INDEX('Controller Prices'!$H:$H,MATCH($B33,'Controller Prices'!$B:$B,0))=""),"",INDEX('Controller Prices'!$H:$H,MATCH($B33,'Controller Prices'!$B:$B,0))-$G33)</f>
        <v/>
      </c>
      <c r="I33" s="3" t="n">
        <f aca="false">IF(OR($G33="",INDEX('Controller Prices'!$I:$I,MATCH($B33,'Controller Prices'!$B:$B,0))=""),"",INDEX('Controller Prices'!$I:$I,MATCH($B33,'Controller Prices'!$B:$B,0))-$G33)</f>
        <v>90</v>
      </c>
    </row>
    <row r="34" customFormat="false" ht="15" hidden="false" customHeight="false" outlineLevel="0" collapsed="false">
      <c r="A34" s="2" t="s">
        <v>45</v>
      </c>
      <c r="B34" s="2" t="s">
        <v>47</v>
      </c>
      <c r="C34" s="2" t="s">
        <v>15</v>
      </c>
      <c r="D34" s="3" t="n">
        <v>2200</v>
      </c>
      <c r="E34" s="3" t="str">
        <f aca="false">IF(OR($C34="KilnStar",$D34="",INDEX('Controller Prices'!$D:$D,MATCH($B34,'Controller Prices'!$B:$B,0))=""),"",INDEX('Controller Prices'!$D:$D,MATCH($B34,'Controller Prices'!$B:$B,0))-$D34)</f>
        <v/>
      </c>
      <c r="F34" s="3" t="n">
        <f aca="false">IF(OR($D34="",INDEX('Controller Prices'!$E:$E,MATCH($B34,'Controller Prices'!$B:$B,0))=""),"",INDEX('Controller Prices'!$E:$E,MATCH($B34,'Controller Prices'!$B:$B,0))-$D34)</f>
        <v>150</v>
      </c>
      <c r="G34" s="3" t="n">
        <v>1320</v>
      </c>
      <c r="H34" s="3" t="str">
        <f aca="false">IF(OR($C34="KilnStar",$G34="",INDEX('Controller Prices'!$H:$H,MATCH($B34,'Controller Prices'!$B:$B,0))=""),"",INDEX('Controller Prices'!$H:$H,MATCH($B34,'Controller Prices'!$B:$B,0))-$G34)</f>
        <v/>
      </c>
      <c r="I34" s="3" t="n">
        <f aca="false">IF(OR($G34="",INDEX('Controller Prices'!$I:$I,MATCH($B34,'Controller Prices'!$B:$B,0))=""),"",INDEX('Controller Prices'!$I:$I,MATCH($B34,'Controller Prices'!$B:$B,0))-$G34)</f>
        <v>90</v>
      </c>
    </row>
    <row r="35" customFormat="false" ht="15" hidden="false" customHeight="false" outlineLevel="0" collapsed="false">
      <c r="A35" s="2" t="s">
        <v>45</v>
      </c>
      <c r="B35" s="2" t="s">
        <v>48</v>
      </c>
      <c r="C35" s="2" t="s">
        <v>15</v>
      </c>
      <c r="D35" s="3" t="n">
        <v>2715</v>
      </c>
      <c r="E35" s="3" t="str">
        <f aca="false">IF(OR($C35="KilnStar",$D35="",INDEX('Controller Prices'!$D:$D,MATCH($B35,'Controller Prices'!$B:$B,0))=""),"",INDEX('Controller Prices'!$D:$D,MATCH($B35,'Controller Prices'!$B:$B,0))-$D35)</f>
        <v/>
      </c>
      <c r="F35" s="3" t="n">
        <f aca="false">IF(OR($D35="",INDEX('Controller Prices'!$E:$E,MATCH($B35,'Controller Prices'!$B:$B,0))=""),"",INDEX('Controller Prices'!$E:$E,MATCH($B35,'Controller Prices'!$B:$B,0))-$D35)</f>
        <v>150</v>
      </c>
      <c r="G35" s="3" t="n">
        <v>1629</v>
      </c>
      <c r="H35" s="3" t="str">
        <f aca="false">IF(OR($C35="KilnStar",$G35="",INDEX('Controller Prices'!$H:$H,MATCH($B35,'Controller Prices'!$B:$B,0))=""),"",INDEX('Controller Prices'!$H:$H,MATCH($B35,'Controller Prices'!$B:$B,0))-$G35)</f>
        <v/>
      </c>
      <c r="I35" s="3" t="n">
        <f aca="false">IF(OR($G35="",INDEX('Controller Prices'!$I:$I,MATCH($B35,'Controller Prices'!$B:$B,0))=""),"",INDEX('Controller Prices'!$I:$I,MATCH($B35,'Controller Prices'!$B:$B,0))-$G35)</f>
        <v>90</v>
      </c>
    </row>
    <row r="36" customFormat="false" ht="15" hidden="false" customHeight="false" outlineLevel="0" collapsed="false">
      <c r="A36" s="2" t="s">
        <v>49</v>
      </c>
      <c r="B36" s="2" t="s">
        <v>50</v>
      </c>
      <c r="C36" s="2" t="s">
        <v>15</v>
      </c>
      <c r="D36" s="3" t="n">
        <v>1825</v>
      </c>
      <c r="E36" s="3" t="str">
        <f aca="false">IF(OR($C36="KilnStar",$D36="",INDEX('Controller Prices'!$D:$D,MATCH($B36,'Controller Prices'!$B:$B,0))=""),"",INDEX('Controller Prices'!$D:$D,MATCH($B36,'Controller Prices'!$B:$B,0))-$D36)</f>
        <v/>
      </c>
      <c r="F36" s="3" t="n">
        <f aca="false">IF(OR($D36="",INDEX('Controller Prices'!$E:$E,MATCH($B36,'Controller Prices'!$B:$B,0))=""),"",INDEX('Controller Prices'!$E:$E,MATCH($B36,'Controller Prices'!$B:$B,0))-$D36)</f>
        <v>150</v>
      </c>
      <c r="G36" s="3" t="n">
        <v>1095</v>
      </c>
      <c r="H36" s="3" t="str">
        <f aca="false">IF(OR($C36="KilnStar",$G36="",INDEX('Controller Prices'!$H:$H,MATCH($B36,'Controller Prices'!$B:$B,0))=""),"",INDEX('Controller Prices'!$H:$H,MATCH($B36,'Controller Prices'!$B:$B,0))-$G36)</f>
        <v/>
      </c>
      <c r="I36" s="3" t="n">
        <f aca="false">IF(OR($G36="",INDEX('Controller Prices'!$I:$I,MATCH($B36,'Controller Prices'!$B:$B,0))=""),"",INDEX('Controller Prices'!$I:$I,MATCH($B36,'Controller Prices'!$B:$B,0))-$G36)</f>
        <v>90</v>
      </c>
    </row>
    <row r="37" customFormat="false" ht="15" hidden="false" customHeight="false" outlineLevel="0" collapsed="false">
      <c r="A37" s="2" t="s">
        <v>49</v>
      </c>
      <c r="B37" s="2" t="s">
        <v>51</v>
      </c>
      <c r="C37" s="2" t="s">
        <v>15</v>
      </c>
      <c r="D37" s="3" t="n">
        <v>2050</v>
      </c>
      <c r="E37" s="3" t="str">
        <f aca="false">IF(OR($C37="KilnStar",$D37="",INDEX('Controller Prices'!$D:$D,MATCH($B37,'Controller Prices'!$B:$B,0))=""),"",INDEX('Controller Prices'!$D:$D,MATCH($B37,'Controller Prices'!$B:$B,0))-$D37)</f>
        <v/>
      </c>
      <c r="F37" s="3" t="n">
        <f aca="false">IF(OR($D37="",INDEX('Controller Prices'!$E:$E,MATCH($B37,'Controller Prices'!$B:$B,0))=""),"",INDEX('Controller Prices'!$E:$E,MATCH($B37,'Controller Prices'!$B:$B,0))-$D37)</f>
        <v>150</v>
      </c>
      <c r="G37" s="3" t="n">
        <v>1230</v>
      </c>
      <c r="H37" s="3" t="str">
        <f aca="false">IF(OR($C37="KilnStar",$G37="",INDEX('Controller Prices'!$H:$H,MATCH($B37,'Controller Prices'!$B:$B,0))=""),"",INDEX('Controller Prices'!$H:$H,MATCH($B37,'Controller Prices'!$B:$B,0))-$G37)</f>
        <v/>
      </c>
      <c r="I37" s="3" t="n">
        <f aca="false">IF(OR($G37="",INDEX('Controller Prices'!$I:$I,MATCH($B37,'Controller Prices'!$B:$B,0))=""),"",INDEX('Controller Prices'!$I:$I,MATCH($B37,'Controller Prices'!$B:$B,0))-$G37)</f>
        <v>90</v>
      </c>
    </row>
    <row r="38" customFormat="false" ht="15" hidden="false" customHeight="false" outlineLevel="0" collapsed="false">
      <c r="A38" s="2" t="s">
        <v>49</v>
      </c>
      <c r="B38" s="2" t="s">
        <v>52</v>
      </c>
      <c r="C38" s="2" t="s">
        <v>15</v>
      </c>
      <c r="D38" s="3" t="n">
        <v>2300</v>
      </c>
      <c r="E38" s="3" t="str">
        <f aca="false">IF(OR($C38="KilnStar",$D38="",INDEX('Controller Prices'!$D:$D,MATCH($B38,'Controller Prices'!$B:$B,0))=""),"",INDEX('Controller Prices'!$D:$D,MATCH($B38,'Controller Prices'!$B:$B,0))-$D38)</f>
        <v/>
      </c>
      <c r="F38" s="3" t="n">
        <f aca="false">IF(OR($D38="",INDEX('Controller Prices'!$E:$E,MATCH($B38,'Controller Prices'!$B:$B,0))=""),"",INDEX('Controller Prices'!$E:$E,MATCH($B38,'Controller Prices'!$B:$B,0))-$D38)</f>
        <v>150</v>
      </c>
      <c r="G38" s="3" t="n">
        <v>1380</v>
      </c>
      <c r="H38" s="3" t="str">
        <f aca="false">IF(OR($C38="KilnStar",$G38="",INDEX('Controller Prices'!$H:$H,MATCH($B38,'Controller Prices'!$B:$B,0))=""),"",INDEX('Controller Prices'!$H:$H,MATCH($B38,'Controller Prices'!$B:$B,0))-$G38)</f>
        <v/>
      </c>
      <c r="I38" s="3" t="n">
        <f aca="false">IF(OR($G38="",INDEX('Controller Prices'!$I:$I,MATCH($B38,'Controller Prices'!$B:$B,0))=""),"",INDEX('Controller Prices'!$I:$I,MATCH($B38,'Controller Prices'!$B:$B,0))-$G38)</f>
        <v>90</v>
      </c>
    </row>
    <row r="39" customFormat="false" ht="15" hidden="false" customHeight="false" outlineLevel="0" collapsed="false">
      <c r="A39" s="2" t="s">
        <v>49</v>
      </c>
      <c r="B39" s="2" t="s">
        <v>53</v>
      </c>
      <c r="C39" s="2" t="s">
        <v>15</v>
      </c>
      <c r="D39" s="3" t="n">
        <v>2500</v>
      </c>
      <c r="E39" s="3" t="str">
        <f aca="false">IF(OR($C39="KilnStar",$D39="",INDEX('Controller Prices'!$D:$D,MATCH($B39,'Controller Prices'!$B:$B,0))=""),"",INDEX('Controller Prices'!$D:$D,MATCH($B39,'Controller Prices'!$B:$B,0))-$D39)</f>
        <v/>
      </c>
      <c r="F39" s="3" t="n">
        <f aca="false">IF(OR($D39="",INDEX('Controller Prices'!$E:$E,MATCH($B39,'Controller Prices'!$B:$B,0))=""),"",INDEX('Controller Prices'!$E:$E,MATCH($B39,'Controller Prices'!$B:$B,0))-$D39)</f>
        <v>150</v>
      </c>
      <c r="G39" s="3" t="n">
        <v>1500</v>
      </c>
      <c r="H39" s="3" t="str">
        <f aca="false">IF(OR($C39="KilnStar",$G39="",INDEX('Controller Prices'!$H:$H,MATCH($B39,'Controller Prices'!$B:$B,0))=""),"",INDEX('Controller Prices'!$H:$H,MATCH($B39,'Controller Prices'!$B:$B,0))-$G39)</f>
        <v/>
      </c>
      <c r="I39" s="3" t="n">
        <f aca="false">IF(OR($G39="",INDEX('Controller Prices'!$I:$I,MATCH($B39,'Controller Prices'!$B:$B,0))=""),"",INDEX('Controller Prices'!$I:$I,MATCH($B39,'Controller Prices'!$B:$B,0))-$G39)</f>
        <v>90</v>
      </c>
    </row>
    <row r="40" customFormat="false" ht="15" hidden="false" customHeight="false" outlineLevel="0" collapsed="false">
      <c r="A40" s="2" t="s">
        <v>49</v>
      </c>
      <c r="B40" s="2" t="s">
        <v>54</v>
      </c>
      <c r="C40" s="2" t="s">
        <v>15</v>
      </c>
      <c r="D40" s="3" t="n">
        <v>2730</v>
      </c>
      <c r="E40" s="3" t="str">
        <f aca="false">IF(OR($C40="KilnStar",$D40="",INDEX('Controller Prices'!$D:$D,MATCH($B40,'Controller Prices'!$B:$B,0))=""),"",INDEX('Controller Prices'!$D:$D,MATCH($B40,'Controller Prices'!$B:$B,0))-$D40)</f>
        <v/>
      </c>
      <c r="F40" s="3" t="n">
        <f aca="false">IF(OR($D40="",INDEX('Controller Prices'!$E:$E,MATCH($B40,'Controller Prices'!$B:$B,0))=""),"",INDEX('Controller Prices'!$E:$E,MATCH($B40,'Controller Prices'!$B:$B,0))-$D40)</f>
        <v>150</v>
      </c>
      <c r="G40" s="3" t="n">
        <v>1638</v>
      </c>
      <c r="H40" s="3" t="str">
        <f aca="false">IF(OR($C40="KilnStar",$G40="",INDEX('Controller Prices'!$H:$H,MATCH($B40,'Controller Prices'!$B:$B,0))=""),"",INDEX('Controller Prices'!$H:$H,MATCH($B40,'Controller Prices'!$B:$B,0))-$G40)</f>
        <v/>
      </c>
      <c r="I40" s="3" t="n">
        <f aca="false">IF(OR($G40="",INDEX('Controller Prices'!$I:$I,MATCH($B40,'Controller Prices'!$B:$B,0))=""),"",INDEX('Controller Prices'!$I:$I,MATCH($B40,'Controller Prices'!$B:$B,0))-$G40)</f>
        <v>90</v>
      </c>
    </row>
    <row r="41" customFormat="false" ht="15" hidden="false" customHeight="false" outlineLevel="0" collapsed="false">
      <c r="A41" s="2" t="s">
        <v>49</v>
      </c>
      <c r="B41" s="2" t="s">
        <v>55</v>
      </c>
      <c r="C41" s="2" t="s">
        <v>15</v>
      </c>
      <c r="D41" s="3" t="n">
        <v>3100</v>
      </c>
      <c r="E41" s="3" t="str">
        <f aca="false">IF(OR($C41="KilnStar",$D41="",INDEX('Controller Prices'!$D:$D,MATCH($B41,'Controller Prices'!$B:$B,0))=""),"",INDEX('Controller Prices'!$D:$D,MATCH($B41,'Controller Prices'!$B:$B,0))-$D41)</f>
        <v/>
      </c>
      <c r="F41" s="3" t="n">
        <f aca="false">IF(OR($D41="",INDEX('Controller Prices'!$E:$E,MATCH($B41,'Controller Prices'!$B:$B,0))=""),"",INDEX('Controller Prices'!$E:$E,MATCH($B41,'Controller Prices'!$B:$B,0))-$D41)</f>
        <v>150</v>
      </c>
      <c r="G41" s="3" t="n">
        <v>1860</v>
      </c>
      <c r="H41" s="3" t="str">
        <f aca="false">IF(OR($C41="KilnStar",$G41="",INDEX('Controller Prices'!$H:$H,MATCH($B41,'Controller Prices'!$B:$B,0))=""),"",INDEX('Controller Prices'!$H:$H,MATCH($B41,'Controller Prices'!$B:$B,0))-$G41)</f>
        <v/>
      </c>
      <c r="I41" s="3" t="n">
        <f aca="false">IF(OR($G41="",INDEX('Controller Prices'!$I:$I,MATCH($B41,'Controller Prices'!$B:$B,0))=""),"",INDEX('Controller Prices'!$I:$I,MATCH($B41,'Controller Prices'!$B:$B,0))-$G41)</f>
        <v>90</v>
      </c>
    </row>
    <row r="42" customFormat="false" ht="15" hidden="false" customHeight="false" outlineLevel="0" collapsed="false">
      <c r="A42" s="2" t="s">
        <v>56</v>
      </c>
      <c r="B42" s="2" t="s">
        <v>57</v>
      </c>
      <c r="C42" s="2" t="s">
        <v>15</v>
      </c>
      <c r="D42" s="3" t="n">
        <v>2850</v>
      </c>
      <c r="E42" s="3" t="str">
        <f aca="false">IF(OR($C42="KilnStar",$D42="",INDEX('Controller Prices'!$D:$D,MATCH($B42,'Controller Prices'!$B:$B,0))=""),"",INDEX('Controller Prices'!$D:$D,MATCH($B42,'Controller Prices'!$B:$B,0))-$D42)</f>
        <v/>
      </c>
      <c r="F42" s="3" t="n">
        <f aca="false">IF(OR($D42="",INDEX('Controller Prices'!$E:$E,MATCH($B42,'Controller Prices'!$B:$B,0))=""),"",INDEX('Controller Prices'!$E:$E,MATCH($B42,'Controller Prices'!$B:$B,0))-$D42)</f>
        <v>150</v>
      </c>
      <c r="G42" s="3" t="n">
        <v>1710</v>
      </c>
      <c r="H42" s="3" t="str">
        <f aca="false">IF(OR($C42="KilnStar",$G42="",INDEX('Controller Prices'!$H:$H,MATCH($B42,'Controller Prices'!$B:$B,0))=""),"",INDEX('Controller Prices'!$H:$H,MATCH($B42,'Controller Prices'!$B:$B,0))-$G42)</f>
        <v/>
      </c>
      <c r="I42" s="3" t="n">
        <f aca="false">IF(OR($G42="",INDEX('Controller Prices'!$I:$I,MATCH($B42,'Controller Prices'!$B:$B,0))=""),"",INDEX('Controller Prices'!$I:$I,MATCH($B42,'Controller Prices'!$B:$B,0))-$G42)</f>
        <v>90</v>
      </c>
    </row>
    <row r="43" customFormat="false" ht="15" hidden="false" customHeight="false" outlineLevel="0" collapsed="false">
      <c r="A43" s="2" t="s">
        <v>56</v>
      </c>
      <c r="B43" s="2" t="s">
        <v>58</v>
      </c>
      <c r="C43" s="2" t="s">
        <v>15</v>
      </c>
      <c r="D43" s="3" t="n">
        <v>3150</v>
      </c>
      <c r="E43" s="3" t="str">
        <f aca="false">IF(OR($C43="KilnStar",$D43="",INDEX('Controller Prices'!$D:$D,MATCH($B43,'Controller Prices'!$B:$B,0))=""),"",INDEX('Controller Prices'!$D:$D,MATCH($B43,'Controller Prices'!$B:$B,0))-$D43)</f>
        <v/>
      </c>
      <c r="F43" s="3" t="n">
        <f aca="false">IF(OR($D43="",INDEX('Controller Prices'!$E:$E,MATCH($B43,'Controller Prices'!$B:$B,0))=""),"",INDEX('Controller Prices'!$E:$E,MATCH($B43,'Controller Prices'!$B:$B,0))-$D43)</f>
        <v>150</v>
      </c>
      <c r="G43" s="3" t="n">
        <v>1890</v>
      </c>
      <c r="H43" s="3" t="str">
        <f aca="false">IF(OR($C43="KilnStar",$G43="",INDEX('Controller Prices'!$H:$H,MATCH($B43,'Controller Prices'!$B:$B,0))=""),"",INDEX('Controller Prices'!$H:$H,MATCH($B43,'Controller Prices'!$B:$B,0))-$G43)</f>
        <v/>
      </c>
      <c r="I43" s="3" t="n">
        <f aca="false">IF(OR($G43="",INDEX('Controller Prices'!$I:$I,MATCH($B43,'Controller Prices'!$B:$B,0))=""),"",INDEX('Controller Prices'!$I:$I,MATCH($B43,'Controller Prices'!$B:$B,0))-$G43)</f>
        <v>90</v>
      </c>
    </row>
    <row r="44" customFormat="false" ht="15" hidden="false" customHeight="false" outlineLevel="0" collapsed="false">
      <c r="A44" s="2" t="s">
        <v>56</v>
      </c>
      <c r="B44" s="2" t="s">
        <v>59</v>
      </c>
      <c r="C44" s="2" t="s">
        <v>15</v>
      </c>
      <c r="D44" s="3" t="n">
        <v>3600</v>
      </c>
      <c r="E44" s="3" t="str">
        <f aca="false">IF(OR($C44="KilnStar",$D44="",INDEX('Controller Prices'!$D:$D,MATCH($B44,'Controller Prices'!$B:$B,0))=""),"",INDEX('Controller Prices'!$D:$D,MATCH($B44,'Controller Prices'!$B:$B,0))-$D44)</f>
        <v/>
      </c>
      <c r="F44" s="3" t="n">
        <f aca="false">IF(OR($D44="",INDEX('Controller Prices'!$E:$E,MATCH($B44,'Controller Prices'!$B:$B,0))=""),"",INDEX('Controller Prices'!$E:$E,MATCH($B44,'Controller Prices'!$B:$B,0))-$D44)</f>
        <v>150</v>
      </c>
      <c r="G44" s="3" t="n">
        <v>2160</v>
      </c>
      <c r="H44" s="3" t="str">
        <f aca="false">IF(OR($C44="KilnStar",$G44="",INDEX('Controller Prices'!$H:$H,MATCH($B44,'Controller Prices'!$B:$B,0))=""),"",INDEX('Controller Prices'!$H:$H,MATCH($B44,'Controller Prices'!$B:$B,0))-$G44)</f>
        <v/>
      </c>
      <c r="I44" s="3" t="n">
        <f aca="false">IF(OR($G44="",INDEX('Controller Prices'!$I:$I,MATCH($B44,'Controller Prices'!$B:$B,0))=""),"",INDEX('Controller Prices'!$I:$I,MATCH($B44,'Controller Prices'!$B:$B,0))-$G44)</f>
        <v>90</v>
      </c>
    </row>
    <row r="45" customFormat="false" ht="15" hidden="false" customHeight="false" outlineLevel="0" collapsed="false">
      <c r="A45" s="2" t="s">
        <v>56</v>
      </c>
      <c r="B45" s="2" t="s">
        <v>60</v>
      </c>
      <c r="C45" s="2" t="s">
        <v>15</v>
      </c>
      <c r="D45" s="3" t="n">
        <v>3300</v>
      </c>
      <c r="E45" s="3" t="str">
        <f aca="false">IF(OR($C45="KilnStar",$D45="",INDEX('Controller Prices'!$D:$D,MATCH($B45,'Controller Prices'!$B:$B,0))=""),"",INDEX('Controller Prices'!$D:$D,MATCH($B45,'Controller Prices'!$B:$B,0))-$D45)</f>
        <v/>
      </c>
      <c r="F45" s="3" t="n">
        <f aca="false">IF(OR($D45="",INDEX('Controller Prices'!$E:$E,MATCH($B45,'Controller Prices'!$B:$B,0))=""),"",INDEX('Controller Prices'!$E:$E,MATCH($B45,'Controller Prices'!$B:$B,0))-$D45)</f>
        <v>150</v>
      </c>
      <c r="G45" s="3" t="n">
        <v>1980</v>
      </c>
      <c r="H45" s="3" t="str">
        <f aca="false">IF(OR($C45="KilnStar",$G45="",INDEX('Controller Prices'!$H:$H,MATCH($B45,'Controller Prices'!$B:$B,0))=""),"",INDEX('Controller Prices'!$H:$H,MATCH($B45,'Controller Prices'!$B:$B,0))-$G45)</f>
        <v/>
      </c>
      <c r="I45" s="3" t="n">
        <f aca="false">IF(OR($G45="",INDEX('Controller Prices'!$I:$I,MATCH($B45,'Controller Prices'!$B:$B,0))=""),"",INDEX('Controller Prices'!$I:$I,MATCH($B45,'Controller Prices'!$B:$B,0))-$G45)</f>
        <v>90</v>
      </c>
    </row>
    <row r="46" customFormat="false" ht="15" hidden="false" customHeight="false" outlineLevel="0" collapsed="false">
      <c r="A46" s="2" t="s">
        <v>56</v>
      </c>
      <c r="B46" s="2" t="s">
        <v>61</v>
      </c>
      <c r="C46" s="2" t="s">
        <v>15</v>
      </c>
      <c r="D46" s="3" t="n">
        <v>3600</v>
      </c>
      <c r="E46" s="3" t="str">
        <f aca="false">IF(OR($C46="KilnStar",$D46="",INDEX('Controller Prices'!$D:$D,MATCH($B46,'Controller Prices'!$B:$B,0))=""),"",INDEX('Controller Prices'!$D:$D,MATCH($B46,'Controller Prices'!$B:$B,0))-$D46)</f>
        <v/>
      </c>
      <c r="F46" s="3" t="n">
        <f aca="false">IF(OR($D46="",INDEX('Controller Prices'!$E:$E,MATCH($B46,'Controller Prices'!$B:$B,0))=""),"",INDEX('Controller Prices'!$E:$E,MATCH($B46,'Controller Prices'!$B:$B,0))-$D46)</f>
        <v>150</v>
      </c>
      <c r="G46" s="3" t="n">
        <v>2160</v>
      </c>
      <c r="H46" s="3" t="str">
        <f aca="false">IF(OR($C46="KilnStar",$G46="",INDEX('Controller Prices'!$H:$H,MATCH($B46,'Controller Prices'!$B:$B,0))=""),"",INDEX('Controller Prices'!$H:$H,MATCH($B46,'Controller Prices'!$B:$B,0))-$G46)</f>
        <v/>
      </c>
      <c r="I46" s="3" t="n">
        <f aca="false">IF(OR($G46="",INDEX('Controller Prices'!$I:$I,MATCH($B46,'Controller Prices'!$B:$B,0))=""),"",INDEX('Controller Prices'!$I:$I,MATCH($B46,'Controller Prices'!$B:$B,0))-$G46)</f>
        <v>90</v>
      </c>
    </row>
    <row r="47" customFormat="false" ht="15" hidden="false" customHeight="false" outlineLevel="0" collapsed="false">
      <c r="A47" s="2" t="s">
        <v>62</v>
      </c>
      <c r="B47" s="2" t="s">
        <v>63</v>
      </c>
      <c r="C47" s="2" t="s">
        <v>15</v>
      </c>
      <c r="D47" s="3" t="n">
        <v>2500</v>
      </c>
      <c r="E47" s="3" t="str">
        <f aca="false">IF(OR($C47="KilnStar",$D47="",INDEX('Controller Prices'!$D:$D,MATCH($B47,'Controller Prices'!$B:$B,0))=""),"",INDEX('Controller Prices'!$D:$D,MATCH($B47,'Controller Prices'!$B:$B,0))-$D47)</f>
        <v/>
      </c>
      <c r="F47" s="3" t="n">
        <f aca="false">IF(OR($D47="",INDEX('Controller Prices'!$E:$E,MATCH($B47,'Controller Prices'!$B:$B,0))=""),"",INDEX('Controller Prices'!$E:$E,MATCH($B47,'Controller Prices'!$B:$B,0))-$D47)</f>
        <v>150</v>
      </c>
      <c r="G47" s="3" t="n">
        <v>1500</v>
      </c>
      <c r="H47" s="3" t="str">
        <f aca="false">IF(OR($C47="KilnStar",$G47="",INDEX('Controller Prices'!$H:$H,MATCH($B47,'Controller Prices'!$B:$B,0))=""),"",INDEX('Controller Prices'!$H:$H,MATCH($B47,'Controller Prices'!$B:$B,0))-$G47)</f>
        <v/>
      </c>
      <c r="I47" s="3" t="n">
        <f aca="false">IF(OR($G47="",INDEX('Controller Prices'!$I:$I,MATCH($B47,'Controller Prices'!$B:$B,0))=""),"",INDEX('Controller Prices'!$I:$I,MATCH($B47,'Controller Prices'!$B:$B,0))-$G47)</f>
        <v>90</v>
      </c>
    </row>
    <row r="48" customFormat="false" ht="15" hidden="false" customHeight="false" outlineLevel="0" collapsed="false">
      <c r="A48" s="2" t="s">
        <v>62</v>
      </c>
      <c r="B48" s="2" t="s">
        <v>64</v>
      </c>
      <c r="C48" s="2" t="s">
        <v>15</v>
      </c>
      <c r="D48" s="3" t="n">
        <v>2775</v>
      </c>
      <c r="E48" s="3" t="str">
        <f aca="false">IF(OR($C48="KilnStar",$D48="",INDEX('Controller Prices'!$D:$D,MATCH($B48,'Controller Prices'!$B:$B,0))=""),"",INDEX('Controller Prices'!$D:$D,MATCH($B48,'Controller Prices'!$B:$B,0))-$D48)</f>
        <v/>
      </c>
      <c r="F48" s="3" t="n">
        <f aca="false">IF(OR($D48="",INDEX('Controller Prices'!$E:$E,MATCH($B48,'Controller Prices'!$B:$B,0))=""),"",INDEX('Controller Prices'!$E:$E,MATCH($B48,'Controller Prices'!$B:$B,0))-$D48)</f>
        <v>150</v>
      </c>
      <c r="G48" s="3" t="n">
        <v>1665</v>
      </c>
      <c r="H48" s="3" t="str">
        <f aca="false">IF(OR($C48="KilnStar",$G48="",INDEX('Controller Prices'!$H:$H,MATCH($B48,'Controller Prices'!$B:$B,0))=""),"",INDEX('Controller Prices'!$H:$H,MATCH($B48,'Controller Prices'!$B:$B,0))-$G48)</f>
        <v/>
      </c>
      <c r="I48" s="3" t="n">
        <f aca="false">IF(OR($G48="",INDEX('Controller Prices'!$I:$I,MATCH($B48,'Controller Prices'!$B:$B,0))=""),"",INDEX('Controller Prices'!$I:$I,MATCH($B48,'Controller Prices'!$B:$B,0))-$G48)</f>
        <v>-210</v>
      </c>
    </row>
    <row r="49" customFormat="false" ht="15" hidden="false" customHeight="false" outlineLevel="0" collapsed="false">
      <c r="A49" s="2" t="s">
        <v>62</v>
      </c>
      <c r="B49" s="2" t="s">
        <v>65</v>
      </c>
      <c r="C49" s="2" t="s">
        <v>15</v>
      </c>
      <c r="D49" s="3" t="n">
        <v>2925</v>
      </c>
      <c r="E49" s="3" t="str">
        <f aca="false">IF(OR($C49="KilnStar",$D49="",INDEX('Controller Prices'!$D:$D,MATCH($B49,'Controller Prices'!$B:$B,0))=""),"",INDEX('Controller Prices'!$D:$D,MATCH($B49,'Controller Prices'!$B:$B,0))-$D49)</f>
        <v/>
      </c>
      <c r="F49" s="3" t="n">
        <f aca="false">IF(OR($D49="",INDEX('Controller Prices'!$E:$E,MATCH($B49,'Controller Prices'!$B:$B,0))=""),"",INDEX('Controller Prices'!$E:$E,MATCH($B49,'Controller Prices'!$B:$B,0))-$D49)</f>
        <v>150</v>
      </c>
      <c r="G49" s="3" t="n">
        <v>1755</v>
      </c>
      <c r="H49" s="3" t="str">
        <f aca="false">IF(OR($C49="KilnStar",$G49="",INDEX('Controller Prices'!$H:$H,MATCH($B49,'Controller Prices'!$B:$B,0))=""),"",INDEX('Controller Prices'!$H:$H,MATCH($B49,'Controller Prices'!$B:$B,0))-$G49)</f>
        <v/>
      </c>
      <c r="I49" s="3" t="n">
        <f aca="false">IF(OR($G49="",INDEX('Controller Prices'!$I:$I,MATCH($B49,'Controller Prices'!$B:$B,0))=""),"",INDEX('Controller Prices'!$I:$I,MATCH($B49,'Controller Prices'!$B:$B,0))-$G49)</f>
        <v>90</v>
      </c>
    </row>
    <row r="50" customFormat="false" ht="15" hidden="false" customHeight="false" outlineLevel="0" collapsed="false">
      <c r="A50" s="2" t="s">
        <v>62</v>
      </c>
      <c r="B50" s="2" t="s">
        <v>66</v>
      </c>
      <c r="C50" s="2" t="s">
        <v>15</v>
      </c>
      <c r="D50" s="3" t="n">
        <v>3200</v>
      </c>
      <c r="E50" s="3" t="str">
        <f aca="false">IF(OR($C50="KilnStar",$D50="",INDEX('Controller Prices'!$D:$D,MATCH($B50,'Controller Prices'!$B:$B,0))=""),"",INDEX('Controller Prices'!$D:$D,MATCH($B50,'Controller Prices'!$B:$B,0))-$D50)</f>
        <v/>
      </c>
      <c r="F50" s="3" t="n">
        <f aca="false">IF(OR($D50="",INDEX('Controller Prices'!$E:$E,MATCH($B50,'Controller Prices'!$B:$B,0))=""),"",INDEX('Controller Prices'!$E:$E,MATCH($B50,'Controller Prices'!$B:$B,0))-$D50)</f>
        <v>150</v>
      </c>
      <c r="G50" s="3" t="n">
        <v>1920</v>
      </c>
      <c r="H50" s="3" t="str">
        <f aca="false">IF(OR($C50="KilnStar",$G50="",INDEX('Controller Prices'!$H:$H,MATCH($B50,'Controller Prices'!$B:$B,0))=""),"",INDEX('Controller Prices'!$H:$H,MATCH($B50,'Controller Prices'!$B:$B,0))-$G50)</f>
        <v/>
      </c>
      <c r="I50" s="3" t="n">
        <f aca="false">IF(OR($G50="",INDEX('Controller Prices'!$I:$I,MATCH($B50,'Controller Prices'!$B:$B,0))=""),"",INDEX('Controller Prices'!$I:$I,MATCH($B50,'Controller Prices'!$B:$B,0))-$G50)</f>
        <v>90</v>
      </c>
    </row>
    <row r="51" customFormat="false" ht="15" hidden="false" customHeight="false" outlineLevel="0" collapsed="false">
      <c r="A51" s="2" t="s">
        <v>62</v>
      </c>
      <c r="B51" s="2" t="s">
        <v>67</v>
      </c>
      <c r="C51" s="2" t="s">
        <v>15</v>
      </c>
      <c r="D51" s="3" t="n">
        <v>3350</v>
      </c>
      <c r="E51" s="3" t="str">
        <f aca="false">IF(OR($C51="KilnStar",$D51="",INDEX('Controller Prices'!$D:$D,MATCH($B51,'Controller Prices'!$B:$B,0))=""),"",INDEX('Controller Prices'!$D:$D,MATCH($B51,'Controller Prices'!$B:$B,0))-$D51)</f>
        <v/>
      </c>
      <c r="F51" s="3" t="n">
        <f aca="false">IF(OR($D51="",INDEX('Controller Prices'!$E:$E,MATCH($B51,'Controller Prices'!$B:$B,0))=""),"",INDEX('Controller Prices'!$E:$E,MATCH($B51,'Controller Prices'!$B:$B,0))-$D51)</f>
        <v>150</v>
      </c>
      <c r="G51" s="3" t="n">
        <v>2010</v>
      </c>
      <c r="H51" s="3" t="str">
        <f aca="false">IF(OR($C51="KilnStar",$G51="",INDEX('Controller Prices'!$H:$H,MATCH($B51,'Controller Prices'!$B:$B,0))=""),"",INDEX('Controller Prices'!$H:$H,MATCH($B51,'Controller Prices'!$B:$B,0))-$G51)</f>
        <v/>
      </c>
      <c r="I51" s="3" t="n">
        <f aca="false">IF(OR($G51="",INDEX('Controller Prices'!$I:$I,MATCH($B51,'Controller Prices'!$B:$B,0))=""),"",INDEX('Controller Prices'!$I:$I,MATCH($B51,'Controller Prices'!$B:$B,0))-$G51)</f>
        <v>90</v>
      </c>
    </row>
    <row r="52" customFormat="false" ht="15" hidden="false" customHeight="false" outlineLevel="0" collapsed="false">
      <c r="A52" s="2" t="s">
        <v>62</v>
      </c>
      <c r="B52" s="2" t="s">
        <v>68</v>
      </c>
      <c r="C52" s="2" t="s">
        <v>15</v>
      </c>
      <c r="D52" s="3" t="n">
        <v>3390</v>
      </c>
      <c r="E52" s="3" t="str">
        <f aca="false">IF(OR($C52="KilnStar",$D52="",INDEX('Controller Prices'!$D:$D,MATCH($B52,'Controller Prices'!$B:$B,0))=""),"",INDEX('Controller Prices'!$D:$D,MATCH($B52,'Controller Prices'!$B:$B,0))-$D52)</f>
        <v/>
      </c>
      <c r="F52" s="3" t="n">
        <f aca="false">IF(OR($D52="",INDEX('Controller Prices'!$E:$E,MATCH($B52,'Controller Prices'!$B:$B,0))=""),"",INDEX('Controller Prices'!$E:$E,MATCH($B52,'Controller Prices'!$B:$B,0))-$D52)</f>
        <v>150</v>
      </c>
      <c r="G52" s="3" t="n">
        <v>2034</v>
      </c>
      <c r="H52" s="3" t="str">
        <f aca="false">IF(OR($C52="KilnStar",$G52="",INDEX('Controller Prices'!$H:$H,MATCH($B52,'Controller Prices'!$B:$B,0))=""),"",INDEX('Controller Prices'!$H:$H,MATCH($B52,'Controller Prices'!$B:$B,0))-$G52)</f>
        <v/>
      </c>
      <c r="I52" s="3" t="n">
        <f aca="false">IF(OR($G52="",INDEX('Controller Prices'!$I:$I,MATCH($B52,'Controller Prices'!$B:$B,0))=""),"",INDEX('Controller Prices'!$I:$I,MATCH($B52,'Controller Prices'!$B:$B,0))-$G52)</f>
        <v>90</v>
      </c>
    </row>
    <row r="53" customFormat="false" ht="15" hidden="false" customHeight="false" outlineLevel="0" collapsed="false">
      <c r="A53" s="2" t="s">
        <v>62</v>
      </c>
      <c r="B53" s="2" t="s">
        <v>69</v>
      </c>
      <c r="C53" s="2" t="s">
        <v>15</v>
      </c>
      <c r="D53" s="3" t="n">
        <v>3625</v>
      </c>
      <c r="E53" s="3" t="str">
        <f aca="false">IF(OR($C53="KilnStar",$D53="",INDEX('Controller Prices'!$D:$D,MATCH($B53,'Controller Prices'!$B:$B,0))=""),"",INDEX('Controller Prices'!$D:$D,MATCH($B53,'Controller Prices'!$B:$B,0))-$D53)</f>
        <v/>
      </c>
      <c r="F53" s="3" t="n">
        <f aca="false">IF(OR($D53="",INDEX('Controller Prices'!$E:$E,MATCH($B53,'Controller Prices'!$B:$B,0))=""),"",INDEX('Controller Prices'!$E:$E,MATCH($B53,'Controller Prices'!$B:$B,0))-$D53)</f>
        <v>150</v>
      </c>
      <c r="G53" s="3" t="n">
        <v>2175</v>
      </c>
      <c r="H53" s="3" t="str">
        <f aca="false">IF(OR($C53="KilnStar",$G53="",INDEX('Controller Prices'!$H:$H,MATCH($B53,'Controller Prices'!$B:$B,0))=""),"",INDEX('Controller Prices'!$H:$H,MATCH($B53,'Controller Prices'!$B:$B,0))-$G53)</f>
        <v/>
      </c>
      <c r="I53" s="3" t="n">
        <f aca="false">IF(OR($G53="",INDEX('Controller Prices'!$I:$I,MATCH($B53,'Controller Prices'!$B:$B,0))=""),"",INDEX('Controller Prices'!$I:$I,MATCH($B53,'Controller Prices'!$B:$B,0))-$G53)</f>
        <v>90</v>
      </c>
    </row>
    <row r="54" customFormat="false" ht="15" hidden="false" customHeight="false" outlineLevel="0" collapsed="false">
      <c r="A54" s="2" t="s">
        <v>70</v>
      </c>
      <c r="B54" s="2" t="s">
        <v>71</v>
      </c>
      <c r="C54" s="2" t="s">
        <v>15</v>
      </c>
      <c r="D54" s="3" t="n">
        <v>3925</v>
      </c>
      <c r="E54" s="3" t="str">
        <f aca="false">IF(OR($C54="KilnStar",$D54="",INDEX('Controller Prices'!$D:$D,MATCH($B54,'Controller Prices'!$B:$B,0))=""),"",INDEX('Controller Prices'!$D:$D,MATCH($B54,'Controller Prices'!$B:$B,0))-$D54)</f>
        <v/>
      </c>
      <c r="F54" s="3" t="n">
        <f aca="false">IF(OR($D54="",INDEX('Controller Prices'!$E:$E,MATCH($B54,'Controller Prices'!$B:$B,0))=""),"",INDEX('Controller Prices'!$E:$E,MATCH($B54,'Controller Prices'!$B:$B,0))-$D54)</f>
        <v>150</v>
      </c>
      <c r="G54" s="3" t="n">
        <v>2355</v>
      </c>
      <c r="H54" s="3" t="str">
        <f aca="false">IF(OR($C54="KilnStar",$G54="",INDEX('Controller Prices'!$H:$H,MATCH($B54,'Controller Prices'!$B:$B,0))=""),"",INDEX('Controller Prices'!$H:$H,MATCH($B54,'Controller Prices'!$B:$B,0))-$G54)</f>
        <v/>
      </c>
      <c r="I54" s="3" t="n">
        <f aca="false">IF(OR($G54="",INDEX('Controller Prices'!$I:$I,MATCH($B54,'Controller Prices'!$B:$B,0))=""),"",INDEX('Controller Prices'!$I:$I,MATCH($B54,'Controller Prices'!$B:$B,0))-$G54)</f>
        <v>90</v>
      </c>
    </row>
    <row r="55" customFormat="false" ht="15" hidden="false" customHeight="false" outlineLevel="0" collapsed="false">
      <c r="A55" s="2" t="s">
        <v>70</v>
      </c>
      <c r="B55" s="2" t="s">
        <v>72</v>
      </c>
      <c r="C55" s="2" t="s">
        <v>15</v>
      </c>
      <c r="D55" s="3" t="n">
        <v>4000</v>
      </c>
      <c r="E55" s="3" t="str">
        <f aca="false">IF(OR($C55="KilnStar",$D55="",INDEX('Controller Prices'!$D:$D,MATCH($B55,'Controller Prices'!$B:$B,0))=""),"",INDEX('Controller Prices'!$D:$D,MATCH($B55,'Controller Prices'!$B:$B,0))-$D55)</f>
        <v/>
      </c>
      <c r="F55" s="3" t="n">
        <f aca="false">IF(OR($D55="",INDEX('Controller Prices'!$E:$E,MATCH($B55,'Controller Prices'!$B:$B,0))=""),"",INDEX('Controller Prices'!$E:$E,MATCH($B55,'Controller Prices'!$B:$B,0))-$D55)</f>
        <v>150</v>
      </c>
      <c r="G55" s="2"/>
      <c r="H55" s="3" t="str">
        <f aca="false">IF(OR($C55="KilnStar",$G55="",INDEX('Controller Prices'!$H:$H,MATCH($B55,'Controller Prices'!$B:$B,0))=""),"",INDEX('Controller Prices'!$H:$H,MATCH($B55,'Controller Prices'!$B:$B,0))-$G55)</f>
        <v/>
      </c>
      <c r="I55" s="3" t="str">
        <f aca="false">IF(OR($G55="",INDEX('Controller Prices'!$I:$I,MATCH($B55,'Controller Prices'!$B:$B,0))=""),"",INDEX('Controller Prices'!$I:$I,MATCH($B55,'Controller Prices'!$B:$B,0))-$G55)</f>
        <v/>
      </c>
    </row>
    <row r="56" customFormat="false" ht="15" hidden="false" customHeight="false" outlineLevel="0" collapsed="false">
      <c r="A56" s="2" t="s">
        <v>70</v>
      </c>
      <c r="B56" s="2" t="s">
        <v>73</v>
      </c>
      <c r="C56" s="2" t="s">
        <v>15</v>
      </c>
      <c r="D56" s="3" t="n">
        <v>4610</v>
      </c>
      <c r="E56" s="3" t="str">
        <f aca="false">IF(OR($C56="KilnStar",$D56="",INDEX('Controller Prices'!$D:$D,MATCH($B56,'Controller Prices'!$B:$B,0))=""),"",INDEX('Controller Prices'!$D:$D,MATCH($B56,'Controller Prices'!$B:$B,0))-$D56)</f>
        <v/>
      </c>
      <c r="F56" s="3" t="n">
        <f aca="false">IF(OR($D56="",INDEX('Controller Prices'!$E:$E,MATCH($B56,'Controller Prices'!$B:$B,0))=""),"",INDEX('Controller Prices'!$E:$E,MATCH($B56,'Controller Prices'!$B:$B,0))-$D56)</f>
        <v>150</v>
      </c>
      <c r="G56" s="3" t="n">
        <v>2766</v>
      </c>
      <c r="H56" s="3" t="str">
        <f aca="false">IF(OR($C56="KilnStar",$G56="",INDEX('Controller Prices'!$H:$H,MATCH($B56,'Controller Prices'!$B:$B,0))=""),"",INDEX('Controller Prices'!$H:$H,MATCH($B56,'Controller Prices'!$B:$B,0))-$G56)</f>
        <v/>
      </c>
      <c r="I56" s="3" t="n">
        <f aca="false">IF(OR($G56="",INDEX('Controller Prices'!$I:$I,MATCH($B56,'Controller Prices'!$B:$B,0))=""),"",INDEX('Controller Prices'!$I:$I,MATCH($B56,'Controller Prices'!$B:$B,0))-$G56)</f>
        <v>90</v>
      </c>
    </row>
    <row r="57" customFormat="false" ht="15" hidden="false" customHeight="false" outlineLevel="0" collapsed="false">
      <c r="A57" s="2" t="s">
        <v>70</v>
      </c>
      <c r="B57" s="2" t="s">
        <v>74</v>
      </c>
      <c r="C57" s="2" t="s">
        <v>15</v>
      </c>
      <c r="D57" s="3" t="n">
        <v>4835</v>
      </c>
      <c r="E57" s="3" t="str">
        <f aca="false">IF(OR($C57="KilnStar",$D57="",INDEX('Controller Prices'!$D:$D,MATCH($B57,'Controller Prices'!$B:$B,0))=""),"",INDEX('Controller Prices'!$D:$D,MATCH($B57,'Controller Prices'!$B:$B,0))-$D57)</f>
        <v/>
      </c>
      <c r="F57" s="3" t="n">
        <f aca="false">IF(OR($D57="",INDEX('Controller Prices'!$E:$E,MATCH($B57,'Controller Prices'!$B:$B,0))=""),"",INDEX('Controller Prices'!$E:$E,MATCH($B57,'Controller Prices'!$B:$B,0))-$D57)</f>
        <v>160</v>
      </c>
      <c r="G57" s="3" t="n">
        <v>2901</v>
      </c>
      <c r="H57" s="3" t="str">
        <f aca="false">IF(OR($C57="KilnStar",$G57="",INDEX('Controller Prices'!$H:$H,MATCH($B57,'Controller Prices'!$B:$B,0))=""),"",INDEX('Controller Prices'!$H:$H,MATCH($B57,'Controller Prices'!$B:$B,0))-$G57)</f>
        <v/>
      </c>
      <c r="I57" s="3" t="n">
        <f aca="false">IF(OR($G57="",INDEX('Controller Prices'!$I:$I,MATCH($B57,'Controller Prices'!$B:$B,0))=""),"",INDEX('Controller Prices'!$I:$I,MATCH($B57,'Controller Prices'!$B:$B,0))-$G57)</f>
        <v>96</v>
      </c>
    </row>
    <row r="58" customFormat="false" ht="15" hidden="false" customHeight="false" outlineLevel="0" collapsed="false">
      <c r="A58" s="2" t="s">
        <v>70</v>
      </c>
      <c r="B58" s="2" t="s">
        <v>75</v>
      </c>
      <c r="C58" s="2" t="s">
        <v>15</v>
      </c>
      <c r="D58" s="3" t="n">
        <v>5100</v>
      </c>
      <c r="E58" s="3" t="str">
        <f aca="false">IF(OR($C58="KilnStar",$D58="",INDEX('Controller Prices'!$D:$D,MATCH($B58,'Controller Prices'!$B:$B,0))=""),"",INDEX('Controller Prices'!$D:$D,MATCH($B58,'Controller Prices'!$B:$B,0))-$D58)</f>
        <v/>
      </c>
      <c r="F58" s="3" t="n">
        <f aca="false">IF(OR($D58="",INDEX('Controller Prices'!$E:$E,MATCH($B58,'Controller Prices'!$B:$B,0))=""),"",INDEX('Controller Prices'!$E:$E,MATCH($B58,'Controller Prices'!$B:$B,0))-$D58)</f>
        <v>150</v>
      </c>
      <c r="G58" s="3" t="n">
        <v>3060</v>
      </c>
      <c r="H58" s="3" t="str">
        <f aca="false">IF(OR($C58="KilnStar",$G58="",INDEX('Controller Prices'!$H:$H,MATCH($B58,'Controller Prices'!$B:$B,0))=""),"",INDEX('Controller Prices'!$H:$H,MATCH($B58,'Controller Prices'!$B:$B,0))-$G58)</f>
        <v/>
      </c>
      <c r="I58" s="3" t="n">
        <f aca="false">IF(OR($G58="",INDEX('Controller Prices'!$I:$I,MATCH($B58,'Controller Prices'!$B:$B,0))=""),"",INDEX('Controller Prices'!$I:$I,MATCH($B58,'Controller Prices'!$B:$B,0))-$G58)</f>
        <v>90</v>
      </c>
    </row>
    <row r="59" customFormat="false" ht="15" hidden="false" customHeight="false" outlineLevel="0" collapsed="false">
      <c r="A59" s="2" t="s">
        <v>70</v>
      </c>
      <c r="B59" s="2" t="s">
        <v>76</v>
      </c>
      <c r="C59" s="2" t="s">
        <v>15</v>
      </c>
      <c r="D59" s="3" t="n">
        <v>5300</v>
      </c>
      <c r="E59" s="3" t="str">
        <f aca="false">IF(OR($C59="KilnStar",$D59="",INDEX('Controller Prices'!$D:$D,MATCH($B59,'Controller Prices'!$B:$B,0))=""),"",INDEX('Controller Prices'!$D:$D,MATCH($B59,'Controller Prices'!$B:$B,0))-$D59)</f>
        <v/>
      </c>
      <c r="F59" s="3" t="n">
        <f aca="false">IF(OR($D59="",INDEX('Controller Prices'!$E:$E,MATCH($B59,'Controller Prices'!$B:$B,0))=""),"",INDEX('Controller Prices'!$E:$E,MATCH($B59,'Controller Prices'!$B:$B,0))-$D59)</f>
        <v>150</v>
      </c>
      <c r="G59" s="3" t="n">
        <v>3180</v>
      </c>
      <c r="H59" s="3" t="str">
        <f aca="false">IF(OR($C59="KilnStar",$G59="",INDEX('Controller Prices'!$H:$H,MATCH($B59,'Controller Prices'!$B:$B,0))=""),"",INDEX('Controller Prices'!$H:$H,MATCH($B59,'Controller Prices'!$B:$B,0))-$G59)</f>
        <v/>
      </c>
      <c r="I59" s="3" t="n">
        <f aca="false">IF(OR($G59="",INDEX('Controller Prices'!$I:$I,MATCH($B59,'Controller Prices'!$B:$B,0))=""),"",INDEX('Controller Prices'!$I:$I,MATCH($B59,'Controller Prices'!$B:$B,0))-$G59)</f>
        <v>90</v>
      </c>
    </row>
    <row r="60" customFormat="false" ht="15" hidden="false" customHeight="false" outlineLevel="0" collapsed="false">
      <c r="A60" s="2" t="s">
        <v>77</v>
      </c>
      <c r="B60" s="2" t="s">
        <v>78</v>
      </c>
      <c r="C60" s="2" t="s">
        <v>15</v>
      </c>
      <c r="D60" s="3" t="n">
        <v>3700</v>
      </c>
      <c r="E60" s="3" t="str">
        <f aca="false">IF(OR($C60="KilnStar",$D60="",INDEX('Controller Prices'!$D:$D,MATCH($B60,'Controller Prices'!$B:$B,0))=""),"",INDEX('Controller Prices'!$D:$D,MATCH($B60,'Controller Prices'!$B:$B,0))-$D60)</f>
        <v/>
      </c>
      <c r="F60" s="3" t="n">
        <f aca="false">IF(OR($D60="",INDEX('Controller Prices'!$E:$E,MATCH($B60,'Controller Prices'!$B:$B,0))=""),"",INDEX('Controller Prices'!$E:$E,MATCH($B60,'Controller Prices'!$B:$B,0))-$D60)</f>
        <v>150</v>
      </c>
      <c r="G60" s="3" t="n">
        <v>2220</v>
      </c>
      <c r="H60" s="3" t="str">
        <f aca="false">IF(OR($C60="KilnStar",$G60="",INDEX('Controller Prices'!$H:$H,MATCH($B60,'Controller Prices'!$B:$B,0))=""),"",INDEX('Controller Prices'!$H:$H,MATCH($B60,'Controller Prices'!$B:$B,0))-$G60)</f>
        <v/>
      </c>
      <c r="I60" s="3" t="n">
        <f aca="false">IF(OR($G60="",INDEX('Controller Prices'!$I:$I,MATCH($B60,'Controller Prices'!$B:$B,0))=""),"",INDEX('Controller Prices'!$I:$I,MATCH($B60,'Controller Prices'!$B:$B,0))-$G60)</f>
        <v>90</v>
      </c>
    </row>
    <row r="61" customFormat="false" ht="15" hidden="false" customHeight="false" outlineLevel="0" collapsed="false">
      <c r="A61" s="2" t="s">
        <v>77</v>
      </c>
      <c r="B61" s="2" t="s">
        <v>79</v>
      </c>
      <c r="C61" s="2" t="s">
        <v>15</v>
      </c>
      <c r="D61" s="3" t="n">
        <v>3950</v>
      </c>
      <c r="E61" s="3" t="str">
        <f aca="false">IF(OR($C61="KilnStar",$D61="",INDEX('Controller Prices'!$D:$D,MATCH($B61,'Controller Prices'!$B:$B,0))=""),"",INDEX('Controller Prices'!$D:$D,MATCH($B61,'Controller Prices'!$B:$B,0))-$D61)</f>
        <v/>
      </c>
      <c r="F61" s="3" t="n">
        <f aca="false">IF(OR($D61="",INDEX('Controller Prices'!$E:$E,MATCH($B61,'Controller Prices'!$B:$B,0))=""),"",INDEX('Controller Prices'!$E:$E,MATCH($B61,'Controller Prices'!$B:$B,0))-$D61)</f>
        <v>150</v>
      </c>
      <c r="G61" s="3" t="n">
        <v>2370</v>
      </c>
      <c r="H61" s="3" t="str">
        <f aca="false">IF(OR($C61="KilnStar",$G61="",INDEX('Controller Prices'!$H:$H,MATCH($B61,'Controller Prices'!$B:$B,0))=""),"",INDEX('Controller Prices'!$H:$H,MATCH($B61,'Controller Prices'!$B:$B,0))-$G61)</f>
        <v/>
      </c>
      <c r="I61" s="3" t="n">
        <f aca="false">IF(OR($G61="",INDEX('Controller Prices'!$I:$I,MATCH($B61,'Controller Prices'!$B:$B,0))=""),"",INDEX('Controller Prices'!$I:$I,MATCH($B61,'Controller Prices'!$B:$B,0))-$G61)</f>
        <v>90</v>
      </c>
    </row>
    <row r="62" customFormat="false" ht="15" hidden="false" customHeight="false" outlineLevel="0" collapsed="false">
      <c r="A62" s="2" t="s">
        <v>77</v>
      </c>
      <c r="B62" s="2" t="s">
        <v>80</v>
      </c>
      <c r="C62" s="2" t="s">
        <v>15</v>
      </c>
      <c r="D62" s="3" t="n">
        <v>4050</v>
      </c>
      <c r="E62" s="3" t="str">
        <f aca="false">IF(OR($C62="KilnStar",$D62="",INDEX('Controller Prices'!$D:$D,MATCH($B62,'Controller Prices'!$B:$B,0))=""),"",INDEX('Controller Prices'!$D:$D,MATCH($B62,'Controller Prices'!$B:$B,0))-$D62)</f>
        <v/>
      </c>
      <c r="F62" s="3" t="n">
        <f aca="false">IF(OR($D62="",INDEX('Controller Prices'!$E:$E,MATCH($B62,'Controller Prices'!$B:$B,0))=""),"",INDEX('Controller Prices'!$E:$E,MATCH($B62,'Controller Prices'!$B:$B,0))-$D62)</f>
        <v>150</v>
      </c>
      <c r="G62" s="3" t="n">
        <v>2430</v>
      </c>
      <c r="H62" s="3" t="str">
        <f aca="false">IF(OR($C62="KilnStar",$G62="",INDEX('Controller Prices'!$H:$H,MATCH($B62,'Controller Prices'!$B:$B,0))=""),"",INDEX('Controller Prices'!$H:$H,MATCH($B62,'Controller Prices'!$B:$B,0))-$G62)</f>
        <v/>
      </c>
      <c r="I62" s="3" t="n">
        <f aca="false">IF(OR($G62="",INDEX('Controller Prices'!$I:$I,MATCH($B62,'Controller Prices'!$B:$B,0))=""),"",INDEX('Controller Prices'!$I:$I,MATCH($B62,'Controller Prices'!$B:$B,0))-$G62)</f>
        <v>90</v>
      </c>
    </row>
    <row r="63" customFormat="false" ht="15" hidden="false" customHeight="false" outlineLevel="0" collapsed="false">
      <c r="A63" s="2" t="s">
        <v>77</v>
      </c>
      <c r="B63" s="2" t="s">
        <v>81</v>
      </c>
      <c r="C63" s="2" t="s">
        <v>15</v>
      </c>
      <c r="D63" s="3" t="n">
        <v>4400</v>
      </c>
      <c r="E63" s="3" t="str">
        <f aca="false">IF(OR($C63="KilnStar",$D63="",INDEX('Controller Prices'!$D:$D,MATCH($B63,'Controller Prices'!$B:$B,0))=""),"",INDEX('Controller Prices'!$D:$D,MATCH($B63,'Controller Prices'!$B:$B,0))-$D63)</f>
        <v/>
      </c>
      <c r="F63" s="3" t="n">
        <f aca="false">IF(OR($D63="",INDEX('Controller Prices'!$E:$E,MATCH($B63,'Controller Prices'!$B:$B,0))=""),"",INDEX('Controller Prices'!$E:$E,MATCH($B63,'Controller Prices'!$B:$B,0))-$D63)</f>
        <v>150</v>
      </c>
      <c r="G63" s="3" t="n">
        <v>2640</v>
      </c>
      <c r="H63" s="3" t="str">
        <f aca="false">IF(OR($C63="KilnStar",$G63="",INDEX('Controller Prices'!$H:$H,MATCH($B63,'Controller Prices'!$B:$B,0))=""),"",INDEX('Controller Prices'!$H:$H,MATCH($B63,'Controller Prices'!$B:$B,0))-$G63)</f>
        <v/>
      </c>
      <c r="I63" s="3" t="n">
        <f aca="false">IF(OR($G63="",INDEX('Controller Prices'!$I:$I,MATCH($B63,'Controller Prices'!$B:$B,0))=""),"",INDEX('Controller Prices'!$I:$I,MATCH($B63,'Controller Prices'!$B:$B,0))-$G63)</f>
        <v>90</v>
      </c>
    </row>
    <row r="64" customFormat="false" ht="15" hidden="false" customHeight="false" outlineLevel="0" collapsed="false">
      <c r="A64" s="2" t="s">
        <v>77</v>
      </c>
      <c r="B64" s="2" t="s">
        <v>82</v>
      </c>
      <c r="C64" s="2" t="s">
        <v>15</v>
      </c>
      <c r="D64" s="3" t="n">
        <v>3950</v>
      </c>
      <c r="E64" s="3" t="str">
        <f aca="false">IF(OR($C64="KilnStar",$D64="",INDEX('Controller Prices'!$D:$D,MATCH($B64,'Controller Prices'!$B:$B,0))=""),"",INDEX('Controller Prices'!$D:$D,MATCH($B64,'Controller Prices'!$B:$B,0))-$D64)</f>
        <v/>
      </c>
      <c r="F64" s="3" t="n">
        <f aca="false">IF(OR($D64="",INDEX('Controller Prices'!$E:$E,MATCH($B64,'Controller Prices'!$B:$B,0))=""),"",INDEX('Controller Prices'!$E:$E,MATCH($B64,'Controller Prices'!$B:$B,0))-$D64)</f>
        <v>150</v>
      </c>
      <c r="G64" s="3" t="n">
        <v>2370</v>
      </c>
      <c r="H64" s="3" t="str">
        <f aca="false">IF(OR($C64="KilnStar",$G64="",INDEX('Controller Prices'!$H:$H,MATCH($B64,'Controller Prices'!$B:$B,0))=""),"",INDEX('Controller Prices'!$H:$H,MATCH($B64,'Controller Prices'!$B:$B,0))-$G64)</f>
        <v/>
      </c>
      <c r="I64" s="3" t="n">
        <f aca="false">IF(OR($G64="",INDEX('Controller Prices'!$I:$I,MATCH($B64,'Controller Prices'!$B:$B,0))=""),"",INDEX('Controller Prices'!$I:$I,MATCH($B64,'Controller Prices'!$B:$B,0))-$G64)</f>
        <v>90</v>
      </c>
    </row>
    <row r="65" customFormat="false" ht="15" hidden="false" customHeight="false" outlineLevel="0" collapsed="false">
      <c r="A65" s="2" t="s">
        <v>77</v>
      </c>
      <c r="B65" s="2" t="s">
        <v>83</v>
      </c>
      <c r="C65" s="2" t="s">
        <v>15</v>
      </c>
      <c r="D65" s="3" t="n">
        <v>4250</v>
      </c>
      <c r="E65" s="3" t="str">
        <f aca="false">IF(OR($C65="KilnStar",$D65="",INDEX('Controller Prices'!$D:$D,MATCH($B65,'Controller Prices'!$B:$B,0))=""),"",INDEX('Controller Prices'!$D:$D,MATCH($B65,'Controller Prices'!$B:$B,0))-$D65)</f>
        <v/>
      </c>
      <c r="F65" s="3" t="n">
        <f aca="false">IF(OR($D65="",INDEX('Controller Prices'!$E:$E,MATCH($B65,'Controller Prices'!$B:$B,0))=""),"",INDEX('Controller Prices'!$E:$E,MATCH($B65,'Controller Prices'!$B:$B,0))-$D65)</f>
        <v>150</v>
      </c>
      <c r="G65" s="3" t="n">
        <v>2550</v>
      </c>
      <c r="H65" s="3" t="str">
        <f aca="false">IF(OR($C65="KilnStar",$G65="",INDEX('Controller Prices'!$H:$H,MATCH($B65,'Controller Prices'!$B:$B,0))=""),"",INDEX('Controller Prices'!$H:$H,MATCH($B65,'Controller Prices'!$B:$B,0))-$G65)</f>
        <v/>
      </c>
      <c r="I65" s="3" t="n">
        <f aca="false">IF(OR($G65="",INDEX('Controller Prices'!$I:$I,MATCH($B65,'Controller Prices'!$B:$B,0))=""),"",INDEX('Controller Prices'!$I:$I,MATCH($B65,'Controller Prices'!$B:$B,0))-$G65)</f>
        <v>90</v>
      </c>
    </row>
    <row r="66" customFormat="false" ht="15" hidden="false" customHeight="false" outlineLevel="0" collapsed="false">
      <c r="A66" s="2" t="s">
        <v>77</v>
      </c>
      <c r="B66" s="2" t="s">
        <v>84</v>
      </c>
      <c r="C66" s="2" t="s">
        <v>15</v>
      </c>
      <c r="D66" s="3" t="n">
        <v>4625</v>
      </c>
      <c r="E66" s="3" t="str">
        <f aca="false">IF(OR($C66="KilnStar",$D66="",INDEX('Controller Prices'!$D:$D,MATCH($B66,'Controller Prices'!$B:$B,0))=""),"",INDEX('Controller Prices'!$D:$D,MATCH($B66,'Controller Prices'!$B:$B,0))-$D66)</f>
        <v/>
      </c>
      <c r="F66" s="3" t="n">
        <f aca="false">IF(OR($D66="",INDEX('Controller Prices'!$E:$E,MATCH($B66,'Controller Prices'!$B:$B,0))=""),"",INDEX('Controller Prices'!$E:$E,MATCH($B66,'Controller Prices'!$B:$B,0))-$D66)</f>
        <v>150</v>
      </c>
      <c r="G66" s="3" t="n">
        <v>2775</v>
      </c>
      <c r="H66" s="3" t="str">
        <f aca="false">IF(OR($C66="KilnStar",$G66="",INDEX('Controller Prices'!$H:$H,MATCH($B66,'Controller Prices'!$B:$B,0))=""),"",INDEX('Controller Prices'!$H:$H,MATCH($B66,'Controller Prices'!$B:$B,0))-$G66)</f>
        <v/>
      </c>
      <c r="I66" s="3" t="n">
        <f aca="false">IF(OR($G66="",INDEX('Controller Prices'!$I:$I,MATCH($B66,'Controller Prices'!$B:$B,0))=""),"",INDEX('Controller Prices'!$I:$I,MATCH($B66,'Controller Prices'!$B:$B,0))-$G66)</f>
        <v>90</v>
      </c>
    </row>
    <row r="67" customFormat="false" ht="15" hidden="false" customHeight="false" outlineLevel="0" collapsed="false">
      <c r="A67" s="2" t="s">
        <v>77</v>
      </c>
      <c r="B67" s="2" t="s">
        <v>85</v>
      </c>
      <c r="C67" s="2" t="s">
        <v>15</v>
      </c>
      <c r="D67" s="3" t="n">
        <v>4950</v>
      </c>
      <c r="E67" s="3" t="str">
        <f aca="false">IF(OR($C67="KilnStar",$D67="",INDEX('Controller Prices'!$D:$D,MATCH($B67,'Controller Prices'!$B:$B,0))=""),"",INDEX('Controller Prices'!$D:$D,MATCH($B67,'Controller Prices'!$B:$B,0))-$D67)</f>
        <v/>
      </c>
      <c r="F67" s="3" t="n">
        <f aca="false">IF(OR($D67="",INDEX('Controller Prices'!$E:$E,MATCH($B67,'Controller Prices'!$B:$B,0))=""),"",INDEX('Controller Prices'!$E:$E,MATCH($B67,'Controller Prices'!$B:$B,0))-$D67)</f>
        <v>150</v>
      </c>
      <c r="G67" s="3" t="n">
        <v>2970</v>
      </c>
      <c r="H67" s="3" t="str">
        <f aca="false">IF(OR($C67="KilnStar",$G67="",INDEX('Controller Prices'!$H:$H,MATCH($B67,'Controller Prices'!$B:$B,0))=""),"",INDEX('Controller Prices'!$H:$H,MATCH($B67,'Controller Prices'!$B:$B,0))-$G67)</f>
        <v/>
      </c>
      <c r="I67" s="3" t="n">
        <f aca="false">IF(OR($G67="",INDEX('Controller Prices'!$I:$I,MATCH($B67,'Controller Prices'!$B:$B,0))=""),"",INDEX('Controller Prices'!$I:$I,MATCH($B67,'Controller Prices'!$B:$B,0))-$G67)</f>
        <v>90</v>
      </c>
    </row>
    <row r="68" customFormat="false" ht="15" hidden="false" customHeight="false" outlineLevel="0" collapsed="false">
      <c r="A68" s="2" t="s">
        <v>77</v>
      </c>
      <c r="B68" s="2" t="s">
        <v>86</v>
      </c>
      <c r="C68" s="2" t="s">
        <v>15</v>
      </c>
      <c r="D68" s="3" t="n">
        <v>5600</v>
      </c>
      <c r="E68" s="3" t="str">
        <f aca="false">IF(OR($C68="KilnStar",$D68="",INDEX('Controller Prices'!$D:$D,MATCH($B68,'Controller Prices'!$B:$B,0))=""),"",INDEX('Controller Prices'!$D:$D,MATCH($B68,'Controller Prices'!$B:$B,0))-$D68)</f>
        <v/>
      </c>
      <c r="F68" s="3" t="n">
        <f aca="false">IF(OR($D68="",INDEX('Controller Prices'!$E:$E,MATCH($B68,'Controller Prices'!$B:$B,0))=""),"",INDEX('Controller Prices'!$E:$E,MATCH($B68,'Controller Prices'!$B:$B,0))-$D68)</f>
        <v>150</v>
      </c>
      <c r="G68" s="3" t="n">
        <v>3360</v>
      </c>
      <c r="H68" s="3" t="str">
        <f aca="false">IF(OR($C68="KilnStar",$G68="",INDEX('Controller Prices'!$H:$H,MATCH($B68,'Controller Prices'!$B:$B,0))=""),"",INDEX('Controller Prices'!$H:$H,MATCH($B68,'Controller Prices'!$B:$B,0))-$G68)</f>
        <v/>
      </c>
      <c r="I68" s="3" t="n">
        <f aca="false">IF(OR($G68="",INDEX('Controller Prices'!$I:$I,MATCH($B68,'Controller Prices'!$B:$B,0))=""),"",INDEX('Controller Prices'!$I:$I,MATCH($B68,'Controller Prices'!$B:$B,0))-$G68)</f>
        <v>90</v>
      </c>
    </row>
    <row r="69" customFormat="false" ht="15" hidden="false" customHeight="false" outlineLevel="0" collapsed="false">
      <c r="A69" s="2" t="s">
        <v>87</v>
      </c>
      <c r="B69" s="2" t="s">
        <v>88</v>
      </c>
      <c r="C69" s="2" t="s">
        <v>15</v>
      </c>
      <c r="D69" s="3" t="n">
        <v>4850</v>
      </c>
      <c r="E69" s="3" t="str">
        <f aca="false">IF(OR($C69="KilnStar",$D69="",INDEX('Controller Prices'!$D:$D,MATCH($B69,'Controller Prices'!$B:$B,0))=""),"",INDEX('Controller Prices'!$D:$D,MATCH($B69,'Controller Prices'!$B:$B,0))-$D69)</f>
        <v/>
      </c>
      <c r="F69" s="3" t="n">
        <f aca="false">IF(OR($D69="",INDEX('Controller Prices'!$E:$E,MATCH($B69,'Controller Prices'!$B:$B,0))=""),"",INDEX('Controller Prices'!$E:$E,MATCH($B69,'Controller Prices'!$B:$B,0))-$D69)</f>
        <v>150</v>
      </c>
      <c r="G69" s="3" t="n">
        <v>2910</v>
      </c>
      <c r="H69" s="3" t="str">
        <f aca="false">IF(OR($C69="KilnStar",$G69="",INDEX('Controller Prices'!$H:$H,MATCH($B69,'Controller Prices'!$B:$B,0))=""),"",INDEX('Controller Prices'!$H:$H,MATCH($B69,'Controller Prices'!$B:$B,0))-$G69)</f>
        <v/>
      </c>
      <c r="I69" s="3" t="n">
        <f aca="false">IF(OR($G69="",INDEX('Controller Prices'!$I:$I,MATCH($B69,'Controller Prices'!$B:$B,0))=""),"",INDEX('Controller Prices'!$I:$I,MATCH($B69,'Controller Prices'!$B:$B,0))-$G69)</f>
        <v>90</v>
      </c>
    </row>
    <row r="70" customFormat="false" ht="15" hidden="false" customHeight="false" outlineLevel="0" collapsed="false">
      <c r="A70" s="2" t="s">
        <v>87</v>
      </c>
      <c r="B70" s="2" t="s">
        <v>89</v>
      </c>
      <c r="C70" s="2" t="s">
        <v>15</v>
      </c>
      <c r="D70" s="3" t="n">
        <v>5270</v>
      </c>
      <c r="E70" s="3" t="str">
        <f aca="false">IF(OR($C70="KilnStar",$D70="",INDEX('Controller Prices'!$D:$D,MATCH($B70,'Controller Prices'!$B:$B,0))=""),"",INDEX('Controller Prices'!$D:$D,MATCH($B70,'Controller Prices'!$B:$B,0))-$D70)</f>
        <v/>
      </c>
      <c r="F70" s="3" t="n">
        <f aca="false">IF(OR($D70="",INDEX('Controller Prices'!$E:$E,MATCH($B70,'Controller Prices'!$B:$B,0))=""),"",INDEX('Controller Prices'!$E:$E,MATCH($B70,'Controller Prices'!$B:$B,0))-$D70)</f>
        <v>150</v>
      </c>
      <c r="G70" s="3" t="n">
        <v>3162</v>
      </c>
      <c r="H70" s="3" t="str">
        <f aca="false">IF(OR($C70="KilnStar",$G70="",INDEX('Controller Prices'!$H:$H,MATCH($B70,'Controller Prices'!$B:$B,0))=""),"",INDEX('Controller Prices'!$H:$H,MATCH($B70,'Controller Prices'!$B:$B,0))-$G70)</f>
        <v/>
      </c>
      <c r="I70" s="3" t="n">
        <f aca="false">IF(OR($G70="",INDEX('Controller Prices'!$I:$I,MATCH($B70,'Controller Prices'!$B:$B,0))=""),"",INDEX('Controller Prices'!$I:$I,MATCH($B70,'Controller Prices'!$B:$B,0))-$G70)</f>
        <v>90</v>
      </c>
    </row>
    <row r="71" customFormat="false" ht="15" hidden="false" customHeight="false" outlineLevel="0" collapsed="false">
      <c r="A71" s="2" t="s">
        <v>87</v>
      </c>
      <c r="B71" s="2" t="s">
        <v>90</v>
      </c>
      <c r="C71" s="2" t="s">
        <v>15</v>
      </c>
      <c r="D71" s="3" t="n">
        <v>5775</v>
      </c>
      <c r="E71" s="3" t="str">
        <f aca="false">IF(OR($C71="KilnStar",$D71="",INDEX('Controller Prices'!$D:$D,MATCH($B71,'Controller Prices'!$B:$B,0))=""),"",INDEX('Controller Prices'!$D:$D,MATCH($B71,'Controller Prices'!$B:$B,0))-$D71)</f>
        <v/>
      </c>
      <c r="F71" s="3" t="n">
        <f aca="false">IF(OR($D71="",INDEX('Controller Prices'!$E:$E,MATCH($B71,'Controller Prices'!$B:$B,0))=""),"",INDEX('Controller Prices'!$E:$E,MATCH($B71,'Controller Prices'!$B:$B,0))-$D71)</f>
        <v>150</v>
      </c>
      <c r="G71" s="3" t="n">
        <v>3465</v>
      </c>
      <c r="H71" s="3" t="str">
        <f aca="false">IF(OR($C71="KilnStar",$G71="",INDEX('Controller Prices'!$H:$H,MATCH($B71,'Controller Prices'!$B:$B,0))=""),"",INDEX('Controller Prices'!$H:$H,MATCH($B71,'Controller Prices'!$B:$B,0))-$G71)</f>
        <v/>
      </c>
      <c r="I71" s="3" t="n">
        <f aca="false">IF(OR($G71="",INDEX('Controller Prices'!$I:$I,MATCH($B71,'Controller Prices'!$B:$B,0))=""),"",INDEX('Controller Prices'!$I:$I,MATCH($B71,'Controller Prices'!$B:$B,0))-$G71)</f>
        <v>90</v>
      </c>
    </row>
    <row r="72" customFormat="false" ht="15" hidden="false" customHeight="false" outlineLevel="0" collapsed="false">
      <c r="A72" s="2" t="s">
        <v>87</v>
      </c>
      <c r="B72" s="2" t="s">
        <v>91</v>
      </c>
      <c r="C72" s="2" t="s">
        <v>15</v>
      </c>
      <c r="D72" s="3" t="n">
        <v>5870</v>
      </c>
      <c r="E72" s="3" t="str">
        <f aca="false">IF(OR($C72="KilnStar",$D72="",INDEX('Controller Prices'!$D:$D,MATCH($B72,'Controller Prices'!$B:$B,0))=""),"",INDEX('Controller Prices'!$D:$D,MATCH($B72,'Controller Prices'!$B:$B,0))-$D72)</f>
        <v/>
      </c>
      <c r="F72" s="3" t="n">
        <f aca="false">IF(OR($D72="",INDEX('Controller Prices'!$E:$E,MATCH($B72,'Controller Prices'!$B:$B,0))=""),"",INDEX('Controller Prices'!$E:$E,MATCH($B72,'Controller Prices'!$B:$B,0))-$D72)</f>
        <v>150</v>
      </c>
      <c r="G72" s="3" t="n">
        <v>3522</v>
      </c>
      <c r="H72" s="3" t="str">
        <f aca="false">IF(OR($C72="KilnStar",$G72="",INDEX('Controller Prices'!$H:$H,MATCH($B72,'Controller Prices'!$B:$B,0))=""),"",INDEX('Controller Prices'!$H:$H,MATCH($B72,'Controller Prices'!$B:$B,0))-$G72)</f>
        <v/>
      </c>
      <c r="I72" s="3" t="n">
        <f aca="false">IF(OR($G72="",INDEX('Controller Prices'!$I:$I,MATCH($B72,'Controller Prices'!$B:$B,0))=""),"",INDEX('Controller Prices'!$I:$I,MATCH($B72,'Controller Prices'!$B:$B,0))-$G72)</f>
        <v>90</v>
      </c>
    </row>
    <row r="73" customFormat="false" ht="15" hidden="false" customHeight="false" outlineLevel="0" collapsed="false">
      <c r="A73" s="2" t="s">
        <v>87</v>
      </c>
      <c r="B73" s="2" t="s">
        <v>92</v>
      </c>
      <c r="C73" s="2" t="s">
        <v>15</v>
      </c>
      <c r="D73" s="3" t="n">
        <v>6450</v>
      </c>
      <c r="E73" s="3" t="str">
        <f aca="false">IF(OR($C73="KilnStar",$D73="",INDEX('Controller Prices'!$D:$D,MATCH($B73,'Controller Prices'!$B:$B,0))=""),"",INDEX('Controller Prices'!$D:$D,MATCH($B73,'Controller Prices'!$B:$B,0))-$D73)</f>
        <v/>
      </c>
      <c r="F73" s="3" t="n">
        <f aca="false">IF(OR($D73="",INDEX('Controller Prices'!$E:$E,MATCH($B73,'Controller Prices'!$B:$B,0))=""),"",INDEX('Controller Prices'!$E:$E,MATCH($B73,'Controller Prices'!$B:$B,0))-$D73)</f>
        <v>150</v>
      </c>
      <c r="G73" s="3" t="n">
        <v>3870</v>
      </c>
      <c r="H73" s="3" t="str">
        <f aca="false">IF(OR($C73="KilnStar",$G73="",INDEX('Controller Prices'!$H:$H,MATCH($B73,'Controller Prices'!$B:$B,0))=""),"",INDEX('Controller Prices'!$H:$H,MATCH($B73,'Controller Prices'!$B:$B,0))-$G73)</f>
        <v/>
      </c>
      <c r="I73" s="3" t="n">
        <f aca="false">IF(OR($G73="",INDEX('Controller Prices'!$I:$I,MATCH($B73,'Controller Prices'!$B:$B,0))=""),"",INDEX('Controller Prices'!$I:$I,MATCH($B73,'Controller Prices'!$B:$B,0))-$G73)</f>
        <v>90</v>
      </c>
    </row>
    <row r="74" customFormat="false" ht="15" hidden="false" customHeight="false" outlineLevel="0" collapsed="false">
      <c r="A74" s="2" t="s">
        <v>93</v>
      </c>
      <c r="B74" s="2" t="s">
        <v>94</v>
      </c>
      <c r="C74" s="2" t="s">
        <v>15</v>
      </c>
      <c r="D74" s="3" t="n">
        <v>4500</v>
      </c>
      <c r="E74" s="3" t="str">
        <f aca="false">IF(OR($C74="KilnStar",$D74="",INDEX('Controller Prices'!$D:$D,MATCH($B74,'Controller Prices'!$B:$B,0))=""),"",INDEX('Controller Prices'!$D:$D,MATCH($B74,'Controller Prices'!$B:$B,0))-$D74)</f>
        <v/>
      </c>
      <c r="F74" s="3" t="n">
        <f aca="false">IF(OR($D74="",INDEX('Controller Prices'!$E:$E,MATCH($B74,'Controller Prices'!$B:$B,0))=""),"",INDEX('Controller Prices'!$E:$E,MATCH($B74,'Controller Prices'!$B:$B,0))-$D74)</f>
        <v>150</v>
      </c>
      <c r="G74" s="3" t="n">
        <v>3240</v>
      </c>
      <c r="H74" s="3" t="str">
        <f aca="false">IF(OR($C74="KilnStar",$G74="",INDEX('Controller Prices'!$H:$H,MATCH($B74,'Controller Prices'!$B:$B,0))=""),"",INDEX('Controller Prices'!$H:$H,MATCH($B74,'Controller Prices'!$B:$B,0))-$G74)</f>
        <v/>
      </c>
      <c r="I74" s="3" t="n">
        <f aca="false">IF(OR($G74="",INDEX('Controller Prices'!$I:$I,MATCH($B74,'Controller Prices'!$B:$B,0))=""),"",INDEX('Controller Prices'!$I:$I,MATCH($B74,'Controller Prices'!$B:$B,0))-$G74)</f>
        <v>-450</v>
      </c>
    </row>
    <row r="75" customFormat="false" ht="15" hidden="false" customHeight="false" outlineLevel="0" collapsed="false">
      <c r="A75" s="2" t="s">
        <v>93</v>
      </c>
      <c r="B75" s="2" t="s">
        <v>95</v>
      </c>
      <c r="C75" s="2" t="s">
        <v>15</v>
      </c>
      <c r="D75" s="3" t="n">
        <v>5250</v>
      </c>
      <c r="E75" s="3" t="str">
        <f aca="false">IF(OR($C75="KilnStar",$D75="",INDEX('Controller Prices'!$D:$D,MATCH($B75,'Controller Prices'!$B:$B,0))=""),"",INDEX('Controller Prices'!$D:$D,MATCH($B75,'Controller Prices'!$B:$B,0))-$D75)</f>
        <v/>
      </c>
      <c r="F75" s="3" t="n">
        <f aca="false">IF(OR($D75="",INDEX('Controller Prices'!$E:$E,MATCH($B75,'Controller Prices'!$B:$B,0))=""),"",INDEX('Controller Prices'!$E:$E,MATCH($B75,'Controller Prices'!$B:$B,0))-$D75)</f>
        <v>150</v>
      </c>
      <c r="G75" s="3" t="n">
        <v>3150</v>
      </c>
      <c r="H75" s="3" t="str">
        <f aca="false">IF(OR($C75="KilnStar",$G75="",INDEX('Controller Prices'!$H:$H,MATCH($B75,'Controller Prices'!$B:$B,0))=""),"",INDEX('Controller Prices'!$H:$H,MATCH($B75,'Controller Prices'!$B:$B,0))-$G75)</f>
        <v/>
      </c>
      <c r="I75" s="3" t="n">
        <f aca="false">IF(OR($G75="",INDEX('Controller Prices'!$I:$I,MATCH($B75,'Controller Prices'!$B:$B,0))=""),"",INDEX('Controller Prices'!$I:$I,MATCH($B75,'Controller Prices'!$B:$B,0))-$G75)</f>
        <v>90</v>
      </c>
    </row>
    <row r="76" customFormat="false" ht="15" hidden="false" customHeight="false" outlineLevel="0" collapsed="false">
      <c r="A76" s="2" t="s">
        <v>93</v>
      </c>
      <c r="B76" s="2" t="s">
        <v>96</v>
      </c>
      <c r="C76" s="2" t="s">
        <v>15</v>
      </c>
      <c r="D76" s="3" t="n">
        <v>5400</v>
      </c>
      <c r="E76" s="3" t="str">
        <f aca="false">IF(OR($C76="KilnStar",$D76="",INDEX('Controller Prices'!$D:$D,MATCH($B76,'Controller Prices'!$B:$B,0))=""),"",INDEX('Controller Prices'!$D:$D,MATCH($B76,'Controller Prices'!$B:$B,0))-$D76)</f>
        <v/>
      </c>
      <c r="F76" s="3" t="n">
        <f aca="false">IF(OR($D76="",INDEX('Controller Prices'!$E:$E,MATCH($B76,'Controller Prices'!$B:$B,0))=""),"",INDEX('Controller Prices'!$E:$E,MATCH($B76,'Controller Prices'!$B:$B,0))-$D76)</f>
        <v>100</v>
      </c>
      <c r="G76" s="3" t="n">
        <v>3240</v>
      </c>
      <c r="H76" s="3" t="str">
        <f aca="false">IF(OR($C76="KilnStar",$G76="",INDEX('Controller Prices'!$H:$H,MATCH($B76,'Controller Prices'!$B:$B,0))=""),"",INDEX('Controller Prices'!$H:$H,MATCH($B76,'Controller Prices'!$B:$B,0))-$G76)</f>
        <v/>
      </c>
      <c r="I76" s="3" t="n">
        <f aca="false">IF(OR($G76="",INDEX('Controller Prices'!$I:$I,MATCH($B76,'Controller Prices'!$B:$B,0))=""),"",INDEX('Controller Prices'!$I:$I,MATCH($B76,'Controller Prices'!$B:$B,0))-$G76)</f>
        <v>60</v>
      </c>
    </row>
    <row r="77" customFormat="false" ht="15" hidden="false" customHeight="false" outlineLevel="0" collapsed="false">
      <c r="A77" s="2" t="s">
        <v>93</v>
      </c>
      <c r="B77" s="2" t="s">
        <v>97</v>
      </c>
      <c r="C77" s="2" t="s">
        <v>15</v>
      </c>
      <c r="D77" s="3" t="n">
        <v>5750</v>
      </c>
      <c r="E77" s="3" t="str">
        <f aca="false">IF(OR($C77="KilnStar",$D77="",INDEX('Controller Prices'!$D:$D,MATCH($B77,'Controller Prices'!$B:$B,0))=""),"",INDEX('Controller Prices'!$D:$D,MATCH($B77,'Controller Prices'!$B:$B,0))-$D77)</f>
        <v/>
      </c>
      <c r="F77" s="3" t="n">
        <f aca="false">IF(OR($D77="",INDEX('Controller Prices'!$E:$E,MATCH($B77,'Controller Prices'!$B:$B,0))=""),"",INDEX('Controller Prices'!$E:$E,MATCH($B77,'Controller Prices'!$B:$B,0))-$D77)</f>
        <v>150</v>
      </c>
      <c r="G77" s="3" t="n">
        <v>3450</v>
      </c>
      <c r="H77" s="3" t="str">
        <f aca="false">IF(OR($C77="KilnStar",$G77="",INDEX('Controller Prices'!$H:$H,MATCH($B77,'Controller Prices'!$B:$B,0))=""),"",INDEX('Controller Prices'!$H:$H,MATCH($B77,'Controller Prices'!$B:$B,0))-$G77)</f>
        <v/>
      </c>
      <c r="I77" s="3" t="n">
        <f aca="false">IF(OR($G77="",INDEX('Controller Prices'!$I:$I,MATCH($B77,'Controller Prices'!$B:$B,0))=""),"",INDEX('Controller Prices'!$I:$I,MATCH($B77,'Controller Prices'!$B:$B,0))-$G77)</f>
        <v>90</v>
      </c>
    </row>
    <row r="78" customFormat="false" ht="15" hidden="false" customHeight="false" outlineLevel="0" collapsed="false">
      <c r="A78" s="2" t="s">
        <v>93</v>
      </c>
      <c r="B78" s="2" t="s">
        <v>98</v>
      </c>
      <c r="C78" s="2" t="s">
        <v>15</v>
      </c>
      <c r="D78" s="3" t="n">
        <v>6500</v>
      </c>
      <c r="E78" s="3" t="str">
        <f aca="false">IF(OR($C78="KilnStar",$D78="",INDEX('Controller Prices'!$D:$D,MATCH($B78,'Controller Prices'!$B:$B,0))=""),"",INDEX('Controller Prices'!$D:$D,MATCH($B78,'Controller Prices'!$B:$B,0))-$D78)</f>
        <v/>
      </c>
      <c r="F78" s="3" t="n">
        <f aca="false">IF(OR($D78="",INDEX('Controller Prices'!$E:$E,MATCH($B78,'Controller Prices'!$B:$B,0))=""),"",INDEX('Controller Prices'!$E:$E,MATCH($B78,'Controller Prices'!$B:$B,0))-$D78)</f>
        <v>150</v>
      </c>
      <c r="G78" s="3" t="n">
        <v>3900</v>
      </c>
      <c r="H78" s="3" t="str">
        <f aca="false">IF(OR($C78="KilnStar",$G78="",INDEX('Controller Prices'!$H:$H,MATCH($B78,'Controller Prices'!$B:$B,0))=""),"",INDEX('Controller Prices'!$H:$H,MATCH($B78,'Controller Prices'!$B:$B,0))-$G78)</f>
        <v/>
      </c>
      <c r="I78" s="3" t="n">
        <f aca="false">IF(OR($G78="",INDEX('Controller Prices'!$I:$I,MATCH($B78,'Controller Prices'!$B:$B,0))=""),"",INDEX('Controller Prices'!$I:$I,MATCH($B78,'Controller Prices'!$B:$B,0))-$G78)</f>
        <v>90</v>
      </c>
    </row>
    <row r="79" customFormat="false" ht="15" hidden="false" customHeight="false" outlineLevel="0" collapsed="false">
      <c r="A79" s="2" t="s">
        <v>99</v>
      </c>
      <c r="B79" s="2" t="s">
        <v>100</v>
      </c>
      <c r="C79" s="2" t="s">
        <v>15</v>
      </c>
      <c r="D79" s="3" t="n">
        <v>3750</v>
      </c>
      <c r="E79" s="3" t="str">
        <f aca="false">IF(OR($C79="KilnStar",$D79="",INDEX('Controller Prices'!$D:$D,MATCH($B79,'Controller Prices'!$B:$B,0))=""),"",INDEX('Controller Prices'!$D:$D,MATCH($B79,'Controller Prices'!$B:$B,0))-$D79)</f>
        <v/>
      </c>
      <c r="F79" s="3" t="n">
        <f aca="false">IF(OR($D79="",INDEX('Controller Prices'!$E:$E,MATCH($B79,'Controller Prices'!$B:$B,0))=""),"",INDEX('Controller Prices'!$E:$E,MATCH($B79,'Controller Prices'!$B:$B,0))-$D79)</f>
        <v>150</v>
      </c>
      <c r="G79" s="3" t="n">
        <v>2250</v>
      </c>
      <c r="H79" s="3" t="str">
        <f aca="false">IF(OR($C79="KilnStar",$G79="",INDEX('Controller Prices'!$H:$H,MATCH($B79,'Controller Prices'!$B:$B,0))=""),"",INDEX('Controller Prices'!$H:$H,MATCH($B79,'Controller Prices'!$B:$B,0))-$G79)</f>
        <v/>
      </c>
      <c r="I79" s="3" t="n">
        <f aca="false">IF(OR($G79="",INDEX('Controller Prices'!$I:$I,MATCH($B79,'Controller Prices'!$B:$B,0))=""),"",INDEX('Controller Prices'!$I:$I,MATCH($B79,'Controller Prices'!$B:$B,0))-$G79)</f>
        <v>90</v>
      </c>
    </row>
    <row r="80" customFormat="false" ht="15" hidden="false" customHeight="false" outlineLevel="0" collapsed="false">
      <c r="A80" s="2" t="s">
        <v>99</v>
      </c>
      <c r="B80" s="2" t="s">
        <v>101</v>
      </c>
      <c r="C80" s="2" t="s">
        <v>15</v>
      </c>
      <c r="D80" s="3" t="n">
        <v>4100</v>
      </c>
      <c r="E80" s="3" t="str">
        <f aca="false">IF(OR($C80="KilnStar",$D80="",INDEX('Controller Prices'!$D:$D,MATCH($B80,'Controller Prices'!$B:$B,0))=""),"",INDEX('Controller Prices'!$D:$D,MATCH($B80,'Controller Prices'!$B:$B,0))-$D80)</f>
        <v/>
      </c>
      <c r="F80" s="3" t="n">
        <f aca="false">IF(OR($D80="",INDEX('Controller Prices'!$E:$E,MATCH($B80,'Controller Prices'!$B:$B,0))=""),"",INDEX('Controller Prices'!$E:$E,MATCH($B80,'Controller Prices'!$B:$B,0))-$D80)</f>
        <v>150</v>
      </c>
      <c r="G80" s="3" t="n">
        <v>2460</v>
      </c>
      <c r="H80" s="3" t="str">
        <f aca="false">IF(OR($C80="KilnStar",$G80="",INDEX('Controller Prices'!$H:$H,MATCH($B80,'Controller Prices'!$B:$B,0))=""),"",INDEX('Controller Prices'!$H:$H,MATCH($B80,'Controller Prices'!$B:$B,0))-$G80)</f>
        <v/>
      </c>
      <c r="I80" s="3" t="n">
        <f aca="false">IF(OR($G80="",INDEX('Controller Prices'!$I:$I,MATCH($B80,'Controller Prices'!$B:$B,0))=""),"",INDEX('Controller Prices'!$I:$I,MATCH($B80,'Controller Prices'!$B:$B,0))-$G80)</f>
        <v>90</v>
      </c>
    </row>
    <row r="81" customFormat="false" ht="15" hidden="false" customHeight="false" outlineLevel="0" collapsed="false">
      <c r="A81" s="2" t="s">
        <v>99</v>
      </c>
      <c r="B81" s="2" t="s">
        <v>102</v>
      </c>
      <c r="C81" s="2" t="s">
        <v>15</v>
      </c>
      <c r="D81" s="3" t="n">
        <v>4825</v>
      </c>
      <c r="E81" s="3" t="str">
        <f aca="false">IF(OR($C81="KilnStar",$D81="",INDEX('Controller Prices'!$D:$D,MATCH($B81,'Controller Prices'!$B:$B,0))=""),"",INDEX('Controller Prices'!$D:$D,MATCH($B81,'Controller Prices'!$B:$B,0))-$D81)</f>
        <v/>
      </c>
      <c r="F81" s="3" t="n">
        <f aca="false">IF(OR($D81="",INDEX('Controller Prices'!$E:$E,MATCH($B81,'Controller Prices'!$B:$B,0))=""),"",INDEX('Controller Prices'!$E:$E,MATCH($B81,'Controller Prices'!$B:$B,0))-$D81)</f>
        <v>150</v>
      </c>
      <c r="G81" s="3" t="n">
        <v>2895</v>
      </c>
      <c r="H81" s="3" t="str">
        <f aca="false">IF(OR($C81="KilnStar",$G81="",INDEX('Controller Prices'!$H:$H,MATCH($B81,'Controller Prices'!$B:$B,0))=""),"",INDEX('Controller Prices'!$H:$H,MATCH($B81,'Controller Prices'!$B:$B,0))-$G81)</f>
        <v/>
      </c>
      <c r="I81" s="3" t="n">
        <f aca="false">IF(OR($G81="",INDEX('Controller Prices'!$I:$I,MATCH($B81,'Controller Prices'!$B:$B,0))=""),"",INDEX('Controller Prices'!$I:$I,MATCH($B81,'Controller Prices'!$B:$B,0))-$G81)</f>
        <v>90</v>
      </c>
    </row>
    <row r="82" customFormat="false" ht="15" hidden="false" customHeight="false" outlineLevel="0" collapsed="false">
      <c r="A82" s="2" t="s">
        <v>99</v>
      </c>
      <c r="B82" s="2" t="s">
        <v>103</v>
      </c>
      <c r="C82" s="2" t="s">
        <v>15</v>
      </c>
      <c r="D82" s="3" t="n">
        <v>5270</v>
      </c>
      <c r="E82" s="3" t="str">
        <f aca="false">IF(OR($C82="KilnStar",$D82="",INDEX('Controller Prices'!$D:$D,MATCH($B82,'Controller Prices'!$B:$B,0))=""),"",INDEX('Controller Prices'!$D:$D,MATCH($B82,'Controller Prices'!$B:$B,0))-$D82)</f>
        <v/>
      </c>
      <c r="F82" s="3" t="n">
        <f aca="false">IF(OR($D82="",INDEX('Controller Prices'!$E:$E,MATCH($B82,'Controller Prices'!$B:$B,0))=""),"",INDEX('Controller Prices'!$E:$E,MATCH($B82,'Controller Prices'!$B:$B,0))-$D82)</f>
        <v>150</v>
      </c>
      <c r="G82" s="3" t="n">
        <v>3162</v>
      </c>
      <c r="H82" s="3" t="str">
        <f aca="false">IF(OR($C82="KilnStar",$G82="",INDEX('Controller Prices'!$H:$H,MATCH($B82,'Controller Prices'!$B:$B,0))=""),"",INDEX('Controller Prices'!$H:$H,MATCH($B82,'Controller Prices'!$B:$B,0))-$G82)</f>
        <v/>
      </c>
      <c r="I82" s="3" t="n">
        <f aca="false">IF(OR($G82="",INDEX('Controller Prices'!$I:$I,MATCH($B82,'Controller Prices'!$B:$B,0))=""),"",INDEX('Controller Prices'!$I:$I,MATCH($B82,'Controller Prices'!$B:$B,0))-$G82)</f>
        <v>90</v>
      </c>
    </row>
    <row r="83" customFormat="false" ht="15" hidden="false" customHeight="false" outlineLevel="0" collapsed="false">
      <c r="A83" s="2" t="s">
        <v>99</v>
      </c>
      <c r="B83" s="2" t="s">
        <v>104</v>
      </c>
      <c r="C83" s="2" t="s">
        <v>15</v>
      </c>
      <c r="D83" s="3" t="n">
        <v>5875</v>
      </c>
      <c r="E83" s="3" t="str">
        <f aca="false">IF(OR($C83="KilnStar",$D83="",INDEX('Controller Prices'!$D:$D,MATCH($B83,'Controller Prices'!$B:$B,0))=""),"",INDEX('Controller Prices'!$D:$D,MATCH($B83,'Controller Prices'!$B:$B,0))-$D83)</f>
        <v/>
      </c>
      <c r="F83" s="3" t="n">
        <f aca="false">IF(OR($D83="",INDEX('Controller Prices'!$E:$E,MATCH($B83,'Controller Prices'!$B:$B,0))=""),"",INDEX('Controller Prices'!$E:$E,MATCH($B83,'Controller Prices'!$B:$B,0))-$D83)</f>
        <v>150</v>
      </c>
      <c r="G83" s="3" t="n">
        <v>3525</v>
      </c>
      <c r="H83" s="3" t="str">
        <f aca="false">IF(OR($C83="KilnStar",$G83="",INDEX('Controller Prices'!$H:$H,MATCH($B83,'Controller Prices'!$B:$B,0))=""),"",INDEX('Controller Prices'!$H:$H,MATCH($B83,'Controller Prices'!$B:$B,0))-$G83)</f>
        <v/>
      </c>
      <c r="I83" s="3" t="n">
        <f aca="false">IF(OR($G83="",INDEX('Controller Prices'!$I:$I,MATCH($B83,'Controller Prices'!$B:$B,0))=""),"",INDEX('Controller Prices'!$I:$I,MATCH($B83,'Controller Prices'!$B:$B,0))-$G83)</f>
        <v>90</v>
      </c>
    </row>
    <row r="84" customFormat="false" ht="15" hidden="false" customHeight="false" outlineLevel="0" collapsed="false">
      <c r="A84" s="2" t="s">
        <v>99</v>
      </c>
      <c r="B84" s="2" t="s">
        <v>105</v>
      </c>
      <c r="C84" s="2" t="s">
        <v>15</v>
      </c>
      <c r="D84" s="3" t="n">
        <v>3950</v>
      </c>
      <c r="E84" s="3" t="str">
        <f aca="false">IF(OR($C84="KilnStar",$D84="",INDEX('Controller Prices'!$D:$D,MATCH($B84,'Controller Prices'!$B:$B,0))=""),"",INDEX('Controller Prices'!$D:$D,MATCH($B84,'Controller Prices'!$B:$B,0))-$D84)</f>
        <v/>
      </c>
      <c r="F84" s="3" t="n">
        <f aca="false">IF(OR($D84="",INDEX('Controller Prices'!$E:$E,MATCH($B84,'Controller Prices'!$B:$B,0))=""),"",INDEX('Controller Prices'!$E:$E,MATCH($B84,'Controller Prices'!$B:$B,0))-$D84)</f>
        <v>150</v>
      </c>
      <c r="G84" s="3" t="n">
        <v>2370</v>
      </c>
      <c r="H84" s="3" t="str">
        <f aca="false">IF(OR($C84="KilnStar",$G84="",INDEX('Controller Prices'!$H:$H,MATCH($B84,'Controller Prices'!$B:$B,0))=""),"",INDEX('Controller Prices'!$H:$H,MATCH($B84,'Controller Prices'!$B:$B,0))-$G84)</f>
        <v/>
      </c>
      <c r="I84" s="3" t="n">
        <f aca="false">IF(OR($G84="",INDEX('Controller Prices'!$I:$I,MATCH($B84,'Controller Prices'!$B:$B,0))=""),"",INDEX('Controller Prices'!$I:$I,MATCH($B84,'Controller Prices'!$B:$B,0))-$G84)</f>
        <v>90</v>
      </c>
    </row>
    <row r="85" customFormat="false" ht="15" hidden="false" customHeight="false" outlineLevel="0" collapsed="false">
      <c r="A85" s="2" t="s">
        <v>99</v>
      </c>
      <c r="B85" s="2" t="s">
        <v>106</v>
      </c>
      <c r="C85" s="2" t="s">
        <v>15</v>
      </c>
      <c r="D85" s="3" t="n">
        <v>4325</v>
      </c>
      <c r="E85" s="3" t="str">
        <f aca="false">IF(OR($C85="KilnStar",$D85="",INDEX('Controller Prices'!$D:$D,MATCH($B85,'Controller Prices'!$B:$B,0))=""),"",INDEX('Controller Prices'!$D:$D,MATCH($B85,'Controller Prices'!$B:$B,0))-$D85)</f>
        <v/>
      </c>
      <c r="F85" s="3" t="n">
        <f aca="false">IF(OR($D85="",INDEX('Controller Prices'!$E:$E,MATCH($B85,'Controller Prices'!$B:$B,0))=""),"",INDEX('Controller Prices'!$E:$E,MATCH($B85,'Controller Prices'!$B:$B,0))-$D85)</f>
        <v>150</v>
      </c>
      <c r="G85" s="3" t="n">
        <v>2595</v>
      </c>
      <c r="H85" s="3" t="str">
        <f aca="false">IF(OR($C85="KilnStar",$G85="",INDEX('Controller Prices'!$H:$H,MATCH($B85,'Controller Prices'!$B:$B,0))=""),"",INDEX('Controller Prices'!$H:$H,MATCH($B85,'Controller Prices'!$B:$B,0))-$G85)</f>
        <v/>
      </c>
      <c r="I85" s="3" t="n">
        <f aca="false">IF(OR($G85="",INDEX('Controller Prices'!$I:$I,MATCH($B85,'Controller Prices'!$B:$B,0))=""),"",INDEX('Controller Prices'!$I:$I,MATCH($B85,'Controller Prices'!$B:$B,0))-$G85)</f>
        <v>90</v>
      </c>
    </row>
    <row r="86" customFormat="false" ht="15" hidden="false" customHeight="false" outlineLevel="0" collapsed="false">
      <c r="A86" s="2" t="s">
        <v>99</v>
      </c>
      <c r="B86" s="2" t="s">
        <v>107</v>
      </c>
      <c r="C86" s="2" t="s">
        <v>15</v>
      </c>
      <c r="D86" s="3" t="n">
        <v>5550</v>
      </c>
      <c r="E86" s="3" t="str">
        <f aca="false">IF(OR($C86="KilnStar",$D86="",INDEX('Controller Prices'!$D:$D,MATCH($B86,'Controller Prices'!$B:$B,0))=""),"",INDEX('Controller Prices'!$D:$D,MATCH($B86,'Controller Prices'!$B:$B,0))-$D86)</f>
        <v/>
      </c>
      <c r="F86" s="3" t="n">
        <f aca="false">IF(OR($D86="",INDEX('Controller Prices'!$E:$E,MATCH($B86,'Controller Prices'!$B:$B,0))=""),"",INDEX('Controller Prices'!$E:$E,MATCH($B86,'Controller Prices'!$B:$B,0))-$D86)</f>
        <v>150</v>
      </c>
      <c r="G86" s="3" t="n">
        <v>3330</v>
      </c>
      <c r="H86" s="3" t="str">
        <f aca="false">IF(OR($C86="KilnStar",$G86="",INDEX('Controller Prices'!$H:$H,MATCH($B86,'Controller Prices'!$B:$B,0))=""),"",INDEX('Controller Prices'!$H:$H,MATCH($B86,'Controller Prices'!$B:$B,0))-$G86)</f>
        <v/>
      </c>
      <c r="I86" s="3" t="n">
        <f aca="false">IF(OR($G86="",INDEX('Controller Prices'!$I:$I,MATCH($B86,'Controller Prices'!$B:$B,0))=""),"",INDEX('Controller Prices'!$I:$I,MATCH($B86,'Controller Prices'!$B:$B,0))-$G86)</f>
        <v>90</v>
      </c>
    </row>
    <row r="87" customFormat="false" ht="15" hidden="false" customHeight="false" outlineLevel="0" collapsed="false">
      <c r="A87" s="2" t="s">
        <v>99</v>
      </c>
      <c r="B87" s="2" t="s">
        <v>108</v>
      </c>
      <c r="C87" s="2" t="s">
        <v>15</v>
      </c>
      <c r="D87" s="3" t="n">
        <v>6300</v>
      </c>
      <c r="E87" s="3" t="str">
        <f aca="false">IF(OR($C87="KilnStar",$D87="",INDEX('Controller Prices'!$D:$D,MATCH($B87,'Controller Prices'!$B:$B,0))=""),"",INDEX('Controller Prices'!$D:$D,MATCH($B87,'Controller Prices'!$B:$B,0))-$D87)</f>
        <v/>
      </c>
      <c r="F87" s="3" t="n">
        <f aca="false">IF(OR($D87="",INDEX('Controller Prices'!$E:$E,MATCH($B87,'Controller Prices'!$B:$B,0))=""),"",INDEX('Controller Prices'!$E:$E,MATCH($B87,'Controller Prices'!$B:$B,0))-$D87)</f>
        <v>150</v>
      </c>
      <c r="G87" s="3" t="n">
        <v>3780</v>
      </c>
      <c r="H87" s="3" t="str">
        <f aca="false">IF(OR($C87="KilnStar",$G87="",INDEX('Controller Prices'!$H:$H,MATCH($B87,'Controller Prices'!$B:$B,0))=""),"",INDEX('Controller Prices'!$H:$H,MATCH($B87,'Controller Prices'!$B:$B,0))-$G87)</f>
        <v/>
      </c>
      <c r="I87" s="3" t="n">
        <f aca="false">IF(OR($G87="",INDEX('Controller Prices'!$I:$I,MATCH($B87,'Controller Prices'!$B:$B,0))=""),"",INDEX('Controller Prices'!$I:$I,MATCH($B87,'Controller Prices'!$B:$B,0))-$G87)</f>
        <v>90</v>
      </c>
    </row>
    <row r="88" customFormat="false" ht="15" hidden="false" customHeight="false" outlineLevel="0" collapsed="false">
      <c r="A88" s="2" t="s">
        <v>99</v>
      </c>
      <c r="B88" s="2" t="s">
        <v>109</v>
      </c>
      <c r="C88" s="2" t="s">
        <v>15</v>
      </c>
      <c r="D88" s="3" t="n">
        <v>6950</v>
      </c>
      <c r="E88" s="3" t="str">
        <f aca="false">IF(OR($C88="KilnStar",$D88="",INDEX('Controller Prices'!$D:$D,MATCH($B88,'Controller Prices'!$B:$B,0))=""),"",INDEX('Controller Prices'!$D:$D,MATCH($B88,'Controller Prices'!$B:$B,0))-$D88)</f>
        <v/>
      </c>
      <c r="F88" s="3" t="n">
        <f aca="false">IF(OR($D88="",INDEX('Controller Prices'!$E:$E,MATCH($B88,'Controller Prices'!$B:$B,0))=""),"",INDEX('Controller Prices'!$E:$E,MATCH($B88,'Controller Prices'!$B:$B,0))-$D88)</f>
        <v>150</v>
      </c>
      <c r="G88" s="3" t="n">
        <v>4170</v>
      </c>
      <c r="H88" s="3" t="str">
        <f aca="false">IF(OR($C88="KilnStar",$G88="",INDEX('Controller Prices'!$H:$H,MATCH($B88,'Controller Prices'!$B:$B,0))=""),"",INDEX('Controller Prices'!$H:$H,MATCH($B88,'Controller Prices'!$B:$B,0))-$G88)</f>
        <v/>
      </c>
      <c r="I88" s="3" t="n">
        <f aca="false">IF(OR($G88="",INDEX('Controller Prices'!$I:$I,MATCH($B88,'Controller Prices'!$B:$B,0))=""),"",INDEX('Controller Prices'!$I:$I,MATCH($B88,'Controller Prices'!$B:$B,0))-$G88)</f>
        <v>90</v>
      </c>
    </row>
    <row r="89" customFormat="false" ht="15" hidden="false" customHeight="false" outlineLevel="0" collapsed="false">
      <c r="A89" s="2" t="s">
        <v>99</v>
      </c>
      <c r="B89" s="2" t="s">
        <v>110</v>
      </c>
      <c r="C89" s="2" t="s">
        <v>15</v>
      </c>
      <c r="D89" s="3" t="n">
        <v>7625</v>
      </c>
      <c r="E89" s="3" t="str">
        <f aca="false">IF(OR($C89="KilnStar",$D89="",INDEX('Controller Prices'!$D:$D,MATCH($B89,'Controller Prices'!$B:$B,0))=""),"",INDEX('Controller Prices'!$D:$D,MATCH($B89,'Controller Prices'!$B:$B,0))-$D89)</f>
        <v/>
      </c>
      <c r="F89" s="3" t="n">
        <f aca="false">IF(OR($D89="",INDEX('Controller Prices'!$E:$E,MATCH($B89,'Controller Prices'!$B:$B,0))=""),"",INDEX('Controller Prices'!$E:$E,MATCH($B89,'Controller Prices'!$B:$B,0))-$D89)</f>
        <v>150</v>
      </c>
      <c r="G89" s="3" t="n">
        <v>4575</v>
      </c>
      <c r="H89" s="3" t="str">
        <f aca="false">IF(OR($C89="KilnStar",$G89="",INDEX('Controller Prices'!$H:$H,MATCH($B89,'Controller Prices'!$B:$B,0))=""),"",INDEX('Controller Prices'!$H:$H,MATCH($B89,'Controller Prices'!$B:$B,0))-$G89)</f>
        <v/>
      </c>
      <c r="I89" s="3" t="n">
        <f aca="false">IF(OR($G89="",INDEX('Controller Prices'!$I:$I,MATCH($B89,'Controller Prices'!$B:$B,0))=""),"",INDEX('Controller Prices'!$I:$I,MATCH($B89,'Controller Prices'!$B:$B,0))-$G89)</f>
        <v>90</v>
      </c>
    </row>
    <row r="90" customFormat="false" ht="15" hidden="false" customHeight="false" outlineLevel="0" collapsed="false">
      <c r="A90" s="2" t="s">
        <v>99</v>
      </c>
      <c r="B90" s="2" t="s">
        <v>111</v>
      </c>
      <c r="C90" s="2" t="s">
        <v>15</v>
      </c>
      <c r="D90" s="3" t="n">
        <v>5300</v>
      </c>
      <c r="E90" s="3" t="str">
        <f aca="false">IF(OR($C90="KilnStar",$D90="",INDEX('Controller Prices'!$D:$D,MATCH($B90,'Controller Prices'!$B:$B,0))=""),"",INDEX('Controller Prices'!$D:$D,MATCH($B90,'Controller Prices'!$B:$B,0))-$D90)</f>
        <v/>
      </c>
      <c r="F90" s="3" t="n">
        <f aca="false">IF(OR($D90="",INDEX('Controller Prices'!$E:$E,MATCH($B90,'Controller Prices'!$B:$B,0))=""),"",INDEX('Controller Prices'!$E:$E,MATCH($B90,'Controller Prices'!$B:$B,0))-$D90)</f>
        <v>150</v>
      </c>
      <c r="G90" s="3" t="n">
        <v>3180</v>
      </c>
      <c r="H90" s="3" t="str">
        <f aca="false">IF(OR($C90="KilnStar",$G90="",INDEX('Controller Prices'!$H:$H,MATCH($B90,'Controller Prices'!$B:$B,0))=""),"",INDEX('Controller Prices'!$H:$H,MATCH($B90,'Controller Prices'!$B:$B,0))-$G90)</f>
        <v/>
      </c>
      <c r="I90" s="3" t="n">
        <f aca="false">IF(OR($G90="",INDEX('Controller Prices'!$I:$I,MATCH($B90,'Controller Prices'!$B:$B,0))=""),"",INDEX('Controller Prices'!$I:$I,MATCH($B90,'Controller Prices'!$B:$B,0))-$G90)</f>
        <v>90</v>
      </c>
    </row>
    <row r="91" customFormat="false" ht="15" hidden="false" customHeight="false" outlineLevel="0" collapsed="false">
      <c r="A91" s="2" t="s">
        <v>99</v>
      </c>
      <c r="B91" s="2" t="s">
        <v>112</v>
      </c>
      <c r="C91" s="2" t="s">
        <v>15</v>
      </c>
      <c r="D91" s="3" t="n">
        <v>5850</v>
      </c>
      <c r="E91" s="3" t="str">
        <f aca="false">IF(OR($C91="KilnStar",$D91="",INDEX('Controller Prices'!$D:$D,MATCH($B91,'Controller Prices'!$B:$B,0))=""),"",INDEX('Controller Prices'!$D:$D,MATCH($B91,'Controller Prices'!$B:$B,0))-$D91)</f>
        <v/>
      </c>
      <c r="F91" s="3" t="n">
        <f aca="false">IF(OR($D91="",INDEX('Controller Prices'!$E:$E,MATCH($B91,'Controller Prices'!$B:$B,0))=""),"",INDEX('Controller Prices'!$E:$E,MATCH($B91,'Controller Prices'!$B:$B,0))-$D91)</f>
        <v>150</v>
      </c>
      <c r="G91" s="3" t="n">
        <v>3510</v>
      </c>
      <c r="H91" s="3" t="str">
        <f aca="false">IF(OR($C91="KilnStar",$G91="",INDEX('Controller Prices'!$H:$H,MATCH($B91,'Controller Prices'!$B:$B,0))=""),"",INDEX('Controller Prices'!$H:$H,MATCH($B91,'Controller Prices'!$B:$B,0))-$G91)</f>
        <v/>
      </c>
      <c r="I91" s="3" t="n">
        <f aca="false">IF(OR($G91="",INDEX('Controller Prices'!$I:$I,MATCH($B91,'Controller Prices'!$B:$B,0))=""),"",INDEX('Controller Prices'!$I:$I,MATCH($B91,'Controller Prices'!$B:$B,0))-$G91)</f>
        <v>90</v>
      </c>
    </row>
    <row r="92" customFormat="false" ht="15" hidden="false" customHeight="false" outlineLevel="0" collapsed="false">
      <c r="A92" s="2" t="s">
        <v>99</v>
      </c>
      <c r="B92" s="2" t="s">
        <v>113</v>
      </c>
      <c r="C92" s="2" t="s">
        <v>15</v>
      </c>
      <c r="D92" s="3" t="n">
        <v>7200</v>
      </c>
      <c r="E92" s="3" t="str">
        <f aca="false">IF(OR($C92="KilnStar",$D92="",INDEX('Controller Prices'!$D:$D,MATCH($B92,'Controller Prices'!$B:$B,0))=""),"",INDEX('Controller Prices'!$D:$D,MATCH($B92,'Controller Prices'!$B:$B,0))-$D92)</f>
        <v/>
      </c>
      <c r="F92" s="3" t="n">
        <f aca="false">IF(OR($D92="",INDEX('Controller Prices'!$E:$E,MATCH($B92,'Controller Prices'!$B:$B,0))=""),"",INDEX('Controller Prices'!$E:$E,MATCH($B92,'Controller Prices'!$B:$B,0))-$D92)</f>
        <v>50</v>
      </c>
      <c r="G92" s="3" t="n">
        <v>4320</v>
      </c>
      <c r="H92" s="3" t="str">
        <f aca="false">IF(OR($C92="KilnStar",$G92="",INDEX('Controller Prices'!$H:$H,MATCH($B92,'Controller Prices'!$B:$B,0))=""),"",INDEX('Controller Prices'!$H:$H,MATCH($B92,'Controller Prices'!$B:$B,0))-$G92)</f>
        <v/>
      </c>
      <c r="I92" s="3" t="n">
        <f aca="false">IF(OR($G92="",INDEX('Controller Prices'!$I:$I,MATCH($B92,'Controller Prices'!$B:$B,0))=""),"",INDEX('Controller Prices'!$I:$I,MATCH($B92,'Controller Prices'!$B:$B,0))-$G92)</f>
        <v>30</v>
      </c>
    </row>
    <row r="93" customFormat="false" ht="15" hidden="false" customHeight="false" outlineLevel="0" collapsed="false">
      <c r="A93" s="2" t="s">
        <v>99</v>
      </c>
      <c r="B93" s="2" t="s">
        <v>114</v>
      </c>
      <c r="C93" s="2" t="s">
        <v>15</v>
      </c>
      <c r="D93" s="3" t="n">
        <v>7700</v>
      </c>
      <c r="E93" s="3" t="str">
        <f aca="false">IF(OR($C93="KilnStar",$D93="",INDEX('Controller Prices'!$D:$D,MATCH($B93,'Controller Prices'!$B:$B,0))=""),"",INDEX('Controller Prices'!$D:$D,MATCH($B93,'Controller Prices'!$B:$B,0))-$D93)</f>
        <v/>
      </c>
      <c r="F93" s="3" t="n">
        <f aca="false">IF(OR($D93="",INDEX('Controller Prices'!$E:$E,MATCH($B93,'Controller Prices'!$B:$B,0))=""),"",INDEX('Controller Prices'!$E:$E,MATCH($B93,'Controller Prices'!$B:$B,0))-$D93)</f>
        <v>150</v>
      </c>
      <c r="G93" s="3" t="n">
        <v>4620</v>
      </c>
      <c r="H93" s="3" t="str">
        <f aca="false">IF(OR($C93="KilnStar",$G93="",INDEX('Controller Prices'!$H:$H,MATCH($B93,'Controller Prices'!$B:$B,0))=""),"",INDEX('Controller Prices'!$H:$H,MATCH($B93,'Controller Prices'!$B:$B,0))-$G93)</f>
        <v/>
      </c>
      <c r="I93" s="3" t="n">
        <f aca="false">IF(OR($G93="",INDEX('Controller Prices'!$I:$I,MATCH($B93,'Controller Prices'!$B:$B,0))=""),"",INDEX('Controller Prices'!$I:$I,MATCH($B93,'Controller Prices'!$B:$B,0))-$G93)</f>
        <v>90</v>
      </c>
    </row>
    <row r="94" customFormat="false" ht="15" hidden="false" customHeight="false" outlineLevel="0" collapsed="false">
      <c r="A94" s="2" t="s">
        <v>99</v>
      </c>
      <c r="B94" s="2" t="s">
        <v>115</v>
      </c>
      <c r="C94" s="2" t="s">
        <v>15</v>
      </c>
      <c r="D94" s="3" t="n">
        <v>8500</v>
      </c>
      <c r="E94" s="3" t="str">
        <f aca="false">IF(OR($C94="KilnStar",$D94="",INDEX('Controller Prices'!$D:$D,MATCH($B94,'Controller Prices'!$B:$B,0))=""),"",INDEX('Controller Prices'!$D:$D,MATCH($B94,'Controller Prices'!$B:$B,0))-$D94)</f>
        <v/>
      </c>
      <c r="F94" s="3" t="n">
        <f aca="false">IF(OR($D94="",INDEX('Controller Prices'!$E:$E,MATCH($B94,'Controller Prices'!$B:$B,0))=""),"",INDEX('Controller Prices'!$E:$E,MATCH($B94,'Controller Prices'!$B:$B,0))-$D94)</f>
        <v>150</v>
      </c>
      <c r="G94" s="3" t="n">
        <v>5100</v>
      </c>
      <c r="H94" s="3" t="str">
        <f aca="false">IF(OR($C94="KilnStar",$G94="",INDEX('Controller Prices'!$H:$H,MATCH($B94,'Controller Prices'!$B:$B,0))=""),"",INDEX('Controller Prices'!$H:$H,MATCH($B94,'Controller Prices'!$B:$B,0))-$G94)</f>
        <v/>
      </c>
      <c r="I94" s="3" t="n">
        <f aca="false">IF(OR($G94="",INDEX('Controller Prices'!$I:$I,MATCH($B94,'Controller Prices'!$B:$B,0))=""),"",INDEX('Controller Prices'!$I:$I,MATCH($B94,'Controller Prices'!$B:$B,0))-$G94)</f>
        <v>90</v>
      </c>
    </row>
    <row r="95" customFormat="false" ht="15" hidden="false" customHeight="false" outlineLevel="0" collapsed="false">
      <c r="A95" s="2" t="s">
        <v>99</v>
      </c>
      <c r="B95" s="2" t="s">
        <v>116</v>
      </c>
      <c r="C95" s="2" t="s">
        <v>15</v>
      </c>
      <c r="D95" s="3" t="n">
        <v>9050</v>
      </c>
      <c r="E95" s="3" t="str">
        <f aca="false">IF(OR($C95="KilnStar",$D95="",INDEX('Controller Prices'!$D:$D,MATCH($B95,'Controller Prices'!$B:$B,0))=""),"",INDEX('Controller Prices'!$D:$D,MATCH($B95,'Controller Prices'!$B:$B,0))-$D95)</f>
        <v/>
      </c>
      <c r="F95" s="3" t="n">
        <f aca="false">IF(OR($D95="",INDEX('Controller Prices'!$E:$E,MATCH($B95,'Controller Prices'!$B:$B,0))=""),"",INDEX('Controller Prices'!$E:$E,MATCH($B95,'Controller Prices'!$B:$B,0))-$D95)</f>
        <v>150</v>
      </c>
      <c r="G95" s="3" t="n">
        <v>5430</v>
      </c>
      <c r="H95" s="3" t="str">
        <f aca="false">IF(OR($C95="KilnStar",$G95="",INDEX('Controller Prices'!$H:$H,MATCH($B95,'Controller Prices'!$B:$B,0))=""),"",INDEX('Controller Prices'!$H:$H,MATCH($B95,'Controller Prices'!$B:$B,0))-$G95)</f>
        <v/>
      </c>
      <c r="I95" s="3" t="n">
        <f aca="false">IF(OR($G95="",INDEX('Controller Prices'!$I:$I,MATCH($B95,'Controller Prices'!$B:$B,0))=""),"",INDEX('Controller Prices'!$I:$I,MATCH($B95,'Controller Prices'!$B:$B,0))-$G95)</f>
        <v>90</v>
      </c>
    </row>
    <row r="96" customFormat="false" ht="15" hidden="false" customHeight="false" outlineLevel="0" collapsed="false">
      <c r="A96" s="2" t="s">
        <v>117</v>
      </c>
      <c r="B96" s="2" t="s">
        <v>118</v>
      </c>
      <c r="C96" s="2" t="s">
        <v>15</v>
      </c>
      <c r="D96" s="3" t="n">
        <v>2800</v>
      </c>
      <c r="E96" s="3" t="str">
        <f aca="false">IF(OR($C96="KilnStar",$D96="",INDEX('Controller Prices'!$D:$D,MATCH($B96,'Controller Prices'!$B:$B,0))=""),"",INDEX('Controller Prices'!$D:$D,MATCH($B96,'Controller Prices'!$B:$B,0))-$D96)</f>
        <v/>
      </c>
      <c r="F96" s="3" t="n">
        <f aca="false">IF(OR($D96="",INDEX('Controller Prices'!$E:$E,MATCH($B96,'Controller Prices'!$B:$B,0))=""),"",INDEX('Controller Prices'!$E:$E,MATCH($B96,'Controller Prices'!$B:$B,0))-$D96)</f>
        <v>150</v>
      </c>
      <c r="G96" s="3" t="n">
        <v>1680</v>
      </c>
      <c r="H96" s="3" t="str">
        <f aca="false">IF(OR($C96="KilnStar",$G96="",INDEX('Controller Prices'!$H:$H,MATCH($B96,'Controller Prices'!$B:$B,0))=""),"",INDEX('Controller Prices'!$H:$H,MATCH($B96,'Controller Prices'!$B:$B,0))-$G96)</f>
        <v/>
      </c>
      <c r="I96" s="3" t="n">
        <f aca="false">IF(OR($G96="",INDEX('Controller Prices'!$I:$I,MATCH($B96,'Controller Prices'!$B:$B,0))=""),"",INDEX('Controller Prices'!$I:$I,MATCH($B96,'Controller Prices'!$B:$B,0))-$G96)</f>
        <v>90</v>
      </c>
    </row>
    <row r="97" customFormat="false" ht="15" hidden="false" customHeight="false" outlineLevel="0" collapsed="false">
      <c r="A97" s="2" t="s">
        <v>117</v>
      </c>
      <c r="B97" s="2" t="s">
        <v>119</v>
      </c>
      <c r="C97" s="2" t="s">
        <v>15</v>
      </c>
      <c r="D97" s="3" t="n">
        <v>3750</v>
      </c>
      <c r="E97" s="3" t="str">
        <f aca="false">IF(OR($C97="KilnStar",$D97="",INDEX('Controller Prices'!$D:$D,MATCH($B97,'Controller Prices'!$B:$B,0))=""),"",INDEX('Controller Prices'!$D:$D,MATCH($B97,'Controller Prices'!$B:$B,0))-$D97)</f>
        <v/>
      </c>
      <c r="F97" s="3" t="n">
        <f aca="false">IF(OR($D97="",INDEX('Controller Prices'!$E:$E,MATCH($B97,'Controller Prices'!$B:$B,0))=""),"",INDEX('Controller Prices'!$E:$E,MATCH($B97,'Controller Prices'!$B:$B,0))-$D97)</f>
        <v>150</v>
      </c>
      <c r="G97" s="3" t="n">
        <v>2250</v>
      </c>
      <c r="H97" s="3" t="str">
        <f aca="false">IF(OR($C97="KilnStar",$G97="",INDEX('Controller Prices'!$H:$H,MATCH($B97,'Controller Prices'!$B:$B,0))=""),"",INDEX('Controller Prices'!$H:$H,MATCH($B97,'Controller Prices'!$B:$B,0))-$G97)</f>
        <v/>
      </c>
      <c r="I97" s="3" t="n">
        <f aca="false">IF(OR($G97="",INDEX('Controller Prices'!$I:$I,MATCH($B97,'Controller Prices'!$B:$B,0))=""),"",INDEX('Controller Prices'!$I:$I,MATCH($B97,'Controller Prices'!$B:$B,0))-$G97)</f>
        <v>90</v>
      </c>
    </row>
    <row r="98" customFormat="false" ht="15" hidden="false" customHeight="false" outlineLevel="0" collapsed="false">
      <c r="A98" s="2" t="s">
        <v>117</v>
      </c>
      <c r="B98" s="2" t="s">
        <v>120</v>
      </c>
      <c r="C98" s="2" t="s">
        <v>15</v>
      </c>
      <c r="D98" s="3" t="n">
        <v>2600</v>
      </c>
      <c r="E98" s="3" t="str">
        <f aca="false">IF(OR($C98="KilnStar",$D98="",INDEX('Controller Prices'!$D:$D,MATCH($B98,'Controller Prices'!$B:$B,0))=""),"",INDEX('Controller Prices'!$D:$D,MATCH($B98,'Controller Prices'!$B:$B,0))-$D98)</f>
        <v/>
      </c>
      <c r="F98" s="3" t="n">
        <f aca="false">IF(OR($D98="",INDEX('Controller Prices'!$E:$E,MATCH($B98,'Controller Prices'!$B:$B,0))=""),"",INDEX('Controller Prices'!$E:$E,MATCH($B98,'Controller Prices'!$B:$B,0))-$D98)</f>
        <v>150</v>
      </c>
      <c r="G98" s="3" t="n">
        <v>1560</v>
      </c>
      <c r="H98" s="3" t="str">
        <f aca="false">IF(OR($C98="KilnStar",$G98="",INDEX('Controller Prices'!$H:$H,MATCH($B98,'Controller Prices'!$B:$B,0))=""),"",INDEX('Controller Prices'!$H:$H,MATCH($B98,'Controller Prices'!$B:$B,0))-$G98)</f>
        <v/>
      </c>
      <c r="I98" s="3" t="n">
        <f aca="false">IF(OR($G98="",INDEX('Controller Prices'!$I:$I,MATCH($B98,'Controller Prices'!$B:$B,0))=""),"",INDEX('Controller Prices'!$I:$I,MATCH($B98,'Controller Prices'!$B:$B,0))-$G98)</f>
        <v>90</v>
      </c>
    </row>
    <row r="99" customFormat="false" ht="15" hidden="false" customHeight="false" outlineLevel="0" collapsed="false">
      <c r="A99" s="2" t="s">
        <v>117</v>
      </c>
      <c r="B99" s="2" t="s">
        <v>121</v>
      </c>
      <c r="C99" s="2" t="s">
        <v>15</v>
      </c>
      <c r="D99" s="3" t="n">
        <v>3600</v>
      </c>
      <c r="E99" s="3" t="str">
        <f aca="false">IF(OR($C99="KilnStar",$D99="",INDEX('Controller Prices'!$D:$D,MATCH($B99,'Controller Prices'!$B:$B,0))=""),"",INDEX('Controller Prices'!$D:$D,MATCH($B99,'Controller Prices'!$B:$B,0))-$D99)</f>
        <v/>
      </c>
      <c r="F99" s="3" t="n">
        <f aca="false">IF(OR($D99="",INDEX('Controller Prices'!$E:$E,MATCH($B99,'Controller Prices'!$B:$B,0))=""),"",INDEX('Controller Prices'!$E:$E,MATCH($B99,'Controller Prices'!$B:$B,0))-$D99)</f>
        <v>150</v>
      </c>
      <c r="G99" s="3" t="n">
        <v>2160</v>
      </c>
      <c r="H99" s="3" t="str">
        <f aca="false">IF(OR($C99="KilnStar",$G99="",INDEX('Controller Prices'!$H:$H,MATCH($B99,'Controller Prices'!$B:$B,0))=""),"",INDEX('Controller Prices'!$H:$H,MATCH($B99,'Controller Prices'!$B:$B,0))-$G99)</f>
        <v/>
      </c>
      <c r="I99" s="3" t="n">
        <f aca="false">IF(OR($G99="",INDEX('Controller Prices'!$I:$I,MATCH($B99,'Controller Prices'!$B:$B,0))=""),"",INDEX('Controller Prices'!$I:$I,MATCH($B99,'Controller Prices'!$B:$B,0))-$G99)</f>
        <v>90</v>
      </c>
    </row>
    <row r="100" customFormat="false" ht="15" hidden="false" customHeight="false" outlineLevel="0" collapsed="false">
      <c r="A100" s="2" t="s">
        <v>117</v>
      </c>
      <c r="B100" s="2" t="s">
        <v>122</v>
      </c>
      <c r="C100" s="2" t="s">
        <v>15</v>
      </c>
      <c r="D100" s="3" t="n">
        <v>3900</v>
      </c>
      <c r="E100" s="3" t="str">
        <f aca="false">IF(OR($C100="KilnStar",$D100="",INDEX('Controller Prices'!$D:$D,MATCH($B100,'Controller Prices'!$B:$B,0))=""),"",INDEX('Controller Prices'!$D:$D,MATCH($B100,'Controller Prices'!$B:$B,0))-$D100)</f>
        <v/>
      </c>
      <c r="F100" s="3" t="n">
        <f aca="false">IF(OR($D100="",INDEX('Controller Prices'!$E:$E,MATCH($B100,'Controller Prices'!$B:$B,0))=""),"",INDEX('Controller Prices'!$E:$E,MATCH($B100,'Controller Prices'!$B:$B,0))-$D100)</f>
        <v>150</v>
      </c>
      <c r="G100" s="3" t="n">
        <v>2340</v>
      </c>
      <c r="H100" s="3" t="str">
        <f aca="false">IF(OR($C100="KilnStar",$G100="",INDEX('Controller Prices'!$H:$H,MATCH($B100,'Controller Prices'!$B:$B,0))=""),"",INDEX('Controller Prices'!$H:$H,MATCH($B100,'Controller Prices'!$B:$B,0))-$G100)</f>
        <v/>
      </c>
      <c r="I100" s="3" t="n">
        <f aca="false">IF(OR($G100="",INDEX('Controller Prices'!$I:$I,MATCH($B100,'Controller Prices'!$B:$B,0))=""),"",INDEX('Controller Prices'!$I:$I,MATCH($B100,'Controller Prices'!$B:$B,0))-$G100)</f>
        <v>90</v>
      </c>
    </row>
    <row r="101" customFormat="false" ht="15" hidden="false" customHeight="false" outlineLevel="0" collapsed="false">
      <c r="A101" s="2" t="s">
        <v>117</v>
      </c>
      <c r="B101" s="2" t="s">
        <v>123</v>
      </c>
      <c r="C101" s="2" t="s">
        <v>15</v>
      </c>
      <c r="D101" s="3" t="n">
        <v>4300</v>
      </c>
      <c r="E101" s="3" t="str">
        <f aca="false">IF(OR($C101="KilnStar",$D101="",INDEX('Controller Prices'!$D:$D,MATCH($B101,'Controller Prices'!$B:$B,0))=""),"",INDEX('Controller Prices'!$D:$D,MATCH($B101,'Controller Prices'!$B:$B,0))-$D101)</f>
        <v/>
      </c>
      <c r="F101" s="3" t="n">
        <f aca="false">IF(OR($D101="",INDEX('Controller Prices'!$E:$E,MATCH($B101,'Controller Prices'!$B:$B,0))=""),"",INDEX('Controller Prices'!$E:$E,MATCH($B101,'Controller Prices'!$B:$B,0))-$D101)</f>
        <v>150</v>
      </c>
      <c r="G101" s="3" t="n">
        <v>2580</v>
      </c>
      <c r="H101" s="3" t="str">
        <f aca="false">IF(OR($C101="KilnStar",$G101="",INDEX('Controller Prices'!$H:$H,MATCH($B101,'Controller Prices'!$B:$B,0))=""),"",INDEX('Controller Prices'!$H:$H,MATCH($B101,'Controller Prices'!$B:$B,0))-$G101)</f>
        <v/>
      </c>
      <c r="I101" s="3" t="n">
        <f aca="false">IF(OR($G101="",INDEX('Controller Prices'!$I:$I,MATCH($B101,'Controller Prices'!$B:$B,0))=""),"",INDEX('Controller Prices'!$I:$I,MATCH($B101,'Controller Prices'!$B:$B,0))-$G101)</f>
        <v>90</v>
      </c>
    </row>
    <row r="102" customFormat="false" ht="15" hidden="false" customHeight="false" outlineLevel="0" collapsed="false">
      <c r="A102" s="2" t="s">
        <v>117</v>
      </c>
      <c r="B102" s="2" t="s">
        <v>124</v>
      </c>
      <c r="C102" s="2" t="s">
        <v>15</v>
      </c>
      <c r="D102" s="3" t="n">
        <v>4600</v>
      </c>
      <c r="E102" s="3" t="str">
        <f aca="false">IF(OR($C102="KilnStar",$D102="",INDEX('Controller Prices'!$D:$D,MATCH($B102,'Controller Prices'!$B:$B,0))=""),"",INDEX('Controller Prices'!$D:$D,MATCH($B102,'Controller Prices'!$B:$B,0))-$D102)</f>
        <v/>
      </c>
      <c r="F102" s="3" t="n">
        <f aca="false">IF(OR($D102="",INDEX('Controller Prices'!$E:$E,MATCH($B102,'Controller Prices'!$B:$B,0))=""),"",INDEX('Controller Prices'!$E:$E,MATCH($B102,'Controller Prices'!$B:$B,0))-$D102)</f>
        <v>150</v>
      </c>
      <c r="G102" s="3" t="n">
        <v>2760</v>
      </c>
      <c r="H102" s="3" t="str">
        <f aca="false">IF(OR($C102="KilnStar",$G102="",INDEX('Controller Prices'!$H:$H,MATCH($B102,'Controller Prices'!$B:$B,0))=""),"",INDEX('Controller Prices'!$H:$H,MATCH($B102,'Controller Prices'!$B:$B,0))-$G102)</f>
        <v/>
      </c>
      <c r="I102" s="3" t="n">
        <f aca="false">IF(OR($G102="",INDEX('Controller Prices'!$I:$I,MATCH($B102,'Controller Prices'!$B:$B,0))=""),"",INDEX('Controller Prices'!$I:$I,MATCH($B102,'Controller Prices'!$B:$B,0))-$G102)</f>
        <v>90</v>
      </c>
    </row>
    <row r="103" customFormat="false" ht="15" hidden="false" customHeight="false" outlineLevel="0" collapsed="false">
      <c r="A103" s="2" t="s">
        <v>117</v>
      </c>
      <c r="B103" s="2" t="s">
        <v>125</v>
      </c>
      <c r="C103" s="2" t="s">
        <v>15</v>
      </c>
      <c r="D103" s="3" t="n">
        <v>7500</v>
      </c>
      <c r="E103" s="3" t="str">
        <f aca="false">IF(OR($C103="KilnStar",$D103="",INDEX('Controller Prices'!$D:$D,MATCH($B103,'Controller Prices'!$B:$B,0))=""),"",INDEX('Controller Prices'!$D:$D,MATCH($B103,'Controller Prices'!$B:$B,0))-$D103)</f>
        <v/>
      </c>
      <c r="F103" s="3" t="n">
        <f aca="false">IF(OR($D103="",INDEX('Controller Prices'!$E:$E,MATCH($B103,'Controller Prices'!$B:$B,0))=""),"",INDEX('Controller Prices'!$E:$E,MATCH($B103,'Controller Prices'!$B:$B,0))-$D103)</f>
        <v>150</v>
      </c>
      <c r="G103" s="3" t="n">
        <v>4500</v>
      </c>
      <c r="H103" s="3" t="str">
        <f aca="false">IF(OR($C103="KilnStar",$G103="",INDEX('Controller Prices'!$H:$H,MATCH($B103,'Controller Prices'!$B:$B,0))=""),"",INDEX('Controller Prices'!$H:$H,MATCH($B103,'Controller Prices'!$B:$B,0))-$G103)</f>
        <v/>
      </c>
      <c r="I103" s="3" t="n">
        <f aca="false">IF(OR($G103="",INDEX('Controller Prices'!$I:$I,MATCH($B103,'Controller Prices'!$B:$B,0))=""),"",INDEX('Controller Prices'!$I:$I,MATCH($B103,'Controller Prices'!$B:$B,0))-$G103)</f>
        <v>90</v>
      </c>
    </row>
    <row r="104" customFormat="false" ht="15" hidden="false" customHeight="false" outlineLevel="0" collapsed="false">
      <c r="A104" s="2" t="s">
        <v>126</v>
      </c>
      <c r="B104" s="2" t="s">
        <v>127</v>
      </c>
      <c r="C104" s="2" t="s">
        <v>15</v>
      </c>
      <c r="D104" s="3" t="n">
        <v>2725</v>
      </c>
      <c r="E104" s="3" t="str">
        <f aca="false">IF(OR($C104="KilnStar",$D104="",INDEX('Controller Prices'!$D:$D,MATCH($B104,'Controller Prices'!$B:$B,0))=""),"",INDEX('Controller Prices'!$D:$D,MATCH($B104,'Controller Prices'!$B:$B,0))-$D104)</f>
        <v/>
      </c>
      <c r="F104" s="3" t="n">
        <f aca="false">IF(OR($D104="",INDEX('Controller Prices'!$E:$E,MATCH($B104,'Controller Prices'!$B:$B,0))=""),"",INDEX('Controller Prices'!$E:$E,MATCH($B104,'Controller Prices'!$B:$B,0))-$D104)</f>
        <v>150</v>
      </c>
      <c r="G104" s="3" t="n">
        <v>1635</v>
      </c>
      <c r="H104" s="3" t="str">
        <f aca="false">IF(OR($C104="KilnStar",$G104="",INDEX('Controller Prices'!$H:$H,MATCH($B104,'Controller Prices'!$B:$B,0))=""),"",INDEX('Controller Prices'!$H:$H,MATCH($B104,'Controller Prices'!$B:$B,0))-$G104)</f>
        <v/>
      </c>
      <c r="I104" s="3" t="n">
        <f aca="false">IF(OR($G104="",INDEX('Controller Prices'!$I:$I,MATCH($B104,'Controller Prices'!$B:$B,0))=""),"",INDEX('Controller Prices'!$I:$I,MATCH($B104,'Controller Prices'!$B:$B,0))-$G104)</f>
        <v>90</v>
      </c>
    </row>
    <row r="105" customFormat="false" ht="15" hidden="false" customHeight="false" outlineLevel="0" collapsed="false">
      <c r="A105" s="2" t="s">
        <v>126</v>
      </c>
      <c r="B105" s="2" t="s">
        <v>128</v>
      </c>
      <c r="C105" s="2" t="s">
        <v>15</v>
      </c>
      <c r="D105" s="3" t="n">
        <v>2850</v>
      </c>
      <c r="E105" s="3" t="str">
        <f aca="false">IF(OR($C105="KilnStar",$D105="",INDEX('Controller Prices'!$D:$D,MATCH($B105,'Controller Prices'!$B:$B,0))=""),"",INDEX('Controller Prices'!$D:$D,MATCH($B105,'Controller Prices'!$B:$B,0))-$D105)</f>
        <v/>
      </c>
      <c r="F105" s="3" t="n">
        <f aca="false">IF(OR($D105="",INDEX('Controller Prices'!$E:$E,MATCH($B105,'Controller Prices'!$B:$B,0))=""),"",INDEX('Controller Prices'!$E:$E,MATCH($B105,'Controller Prices'!$B:$B,0))-$D105)</f>
        <v>150</v>
      </c>
      <c r="G105" s="3" t="n">
        <v>1710</v>
      </c>
      <c r="H105" s="3" t="str">
        <f aca="false">IF(OR($C105="KilnStar",$G105="",INDEX('Controller Prices'!$H:$H,MATCH($B105,'Controller Prices'!$B:$B,0))=""),"",INDEX('Controller Prices'!$H:$H,MATCH($B105,'Controller Prices'!$B:$B,0))-$G105)</f>
        <v/>
      </c>
      <c r="I105" s="3" t="n">
        <f aca="false">IF(OR($G105="",INDEX('Controller Prices'!$I:$I,MATCH($B105,'Controller Prices'!$B:$B,0))=""),"",INDEX('Controller Prices'!$I:$I,MATCH($B105,'Controller Prices'!$B:$B,0))-$G105)</f>
        <v>90</v>
      </c>
    </row>
    <row r="106" customFormat="false" ht="15" hidden="false" customHeight="false" outlineLevel="0" collapsed="false">
      <c r="A106" s="2" t="s">
        <v>126</v>
      </c>
      <c r="B106" s="2" t="s">
        <v>129</v>
      </c>
      <c r="C106" s="2" t="s">
        <v>15</v>
      </c>
      <c r="D106" s="3" t="n">
        <v>3925</v>
      </c>
      <c r="E106" s="3" t="str">
        <f aca="false">IF(OR($C106="KilnStar",$D106="",INDEX('Controller Prices'!$D:$D,MATCH($B106,'Controller Prices'!$B:$B,0))=""),"",INDEX('Controller Prices'!$D:$D,MATCH($B106,'Controller Prices'!$B:$B,0))-$D106)</f>
        <v/>
      </c>
      <c r="F106" s="3" t="n">
        <f aca="false">IF(OR($D106="",INDEX('Controller Prices'!$E:$E,MATCH($B106,'Controller Prices'!$B:$B,0))=""),"",INDEX('Controller Prices'!$E:$E,MATCH($B106,'Controller Prices'!$B:$B,0))-$D106)</f>
        <v>150</v>
      </c>
      <c r="G106" s="3" t="n">
        <v>2355</v>
      </c>
      <c r="H106" s="3" t="str">
        <f aca="false">IF(OR($C106="KilnStar",$G106="",INDEX('Controller Prices'!$H:$H,MATCH($B106,'Controller Prices'!$B:$B,0))=""),"",INDEX('Controller Prices'!$H:$H,MATCH($B106,'Controller Prices'!$B:$B,0))-$G106)</f>
        <v/>
      </c>
      <c r="I106" s="3" t="n">
        <f aca="false">IF(OR($G106="",INDEX('Controller Prices'!$I:$I,MATCH($B106,'Controller Prices'!$B:$B,0))=""),"",INDEX('Controller Prices'!$I:$I,MATCH($B106,'Controller Prices'!$B:$B,0))-$G106)</f>
        <v>90</v>
      </c>
    </row>
    <row r="107" customFormat="false" ht="15" hidden="false" customHeight="false" outlineLevel="0" collapsed="false">
      <c r="A107" s="2" t="s">
        <v>126</v>
      </c>
      <c r="B107" s="2" t="s">
        <v>130</v>
      </c>
      <c r="C107" s="2" t="s">
        <v>15</v>
      </c>
      <c r="D107" s="3" t="n">
        <v>4450</v>
      </c>
      <c r="E107" s="3" t="str">
        <f aca="false">IF(OR($C107="KilnStar",$D107="",INDEX('Controller Prices'!$D:$D,MATCH($B107,'Controller Prices'!$B:$B,0))=""),"",INDEX('Controller Prices'!$D:$D,MATCH($B107,'Controller Prices'!$B:$B,0))-$D107)</f>
        <v/>
      </c>
      <c r="F107" s="3" t="n">
        <f aca="false">IF(OR($D107="",INDEX('Controller Prices'!$E:$E,MATCH($B107,'Controller Prices'!$B:$B,0))=""),"",INDEX('Controller Prices'!$E:$E,MATCH($B107,'Controller Prices'!$B:$B,0))-$D107)</f>
        <v>150</v>
      </c>
      <c r="G107" s="3" t="n">
        <v>2670</v>
      </c>
      <c r="H107" s="3" t="str">
        <f aca="false">IF(OR($C107="KilnStar",$G107="",INDEX('Controller Prices'!$H:$H,MATCH($B107,'Controller Prices'!$B:$B,0))=""),"",INDEX('Controller Prices'!$H:$H,MATCH($B107,'Controller Prices'!$B:$B,0))-$G107)</f>
        <v/>
      </c>
      <c r="I107" s="3" t="n">
        <f aca="false">IF(OR($G107="",INDEX('Controller Prices'!$I:$I,MATCH($B107,'Controller Prices'!$B:$B,0))=""),"",INDEX('Controller Prices'!$I:$I,MATCH($B107,'Controller Prices'!$B:$B,0))-$G107)</f>
        <v>90</v>
      </c>
    </row>
    <row r="108" customFormat="false" ht="15" hidden="false" customHeight="false" outlineLevel="0" collapsed="false">
      <c r="A108" s="2" t="s">
        <v>126</v>
      </c>
      <c r="B108" s="2" t="s">
        <v>131</v>
      </c>
      <c r="C108" s="2" t="s">
        <v>15</v>
      </c>
      <c r="D108" s="3" t="n">
        <v>4950</v>
      </c>
      <c r="E108" s="3" t="str">
        <f aca="false">IF(OR($C108="KilnStar",$D108="",INDEX('Controller Prices'!$D:$D,MATCH($B108,'Controller Prices'!$B:$B,0))=""),"",INDEX('Controller Prices'!$D:$D,MATCH($B108,'Controller Prices'!$B:$B,0))-$D108)</f>
        <v/>
      </c>
      <c r="F108" s="3" t="n">
        <f aca="false">IF(OR($D108="",INDEX('Controller Prices'!$E:$E,MATCH($B108,'Controller Prices'!$B:$B,0))=""),"",INDEX('Controller Prices'!$E:$E,MATCH($B108,'Controller Prices'!$B:$B,0))-$D108)</f>
        <v>150</v>
      </c>
      <c r="G108" s="3" t="n">
        <v>2970</v>
      </c>
      <c r="H108" s="3" t="str">
        <f aca="false">IF(OR($C108="KilnStar",$G108="",INDEX('Controller Prices'!$H:$H,MATCH($B108,'Controller Prices'!$B:$B,0))=""),"",INDEX('Controller Prices'!$H:$H,MATCH($B108,'Controller Prices'!$B:$B,0))-$G108)</f>
        <v/>
      </c>
      <c r="I108" s="3" t="n">
        <f aca="false">IF(OR($G108="",INDEX('Controller Prices'!$I:$I,MATCH($B108,'Controller Prices'!$B:$B,0))=""),"",INDEX('Controller Prices'!$I:$I,MATCH($B108,'Controller Prices'!$B:$B,0))-$G108)</f>
        <v>90</v>
      </c>
    </row>
    <row r="109" customFormat="false" ht="15" hidden="false" customHeight="false" outlineLevel="0" collapsed="false">
      <c r="A109" s="2" t="s">
        <v>126</v>
      </c>
      <c r="B109" s="2" t="s">
        <v>132</v>
      </c>
      <c r="C109" s="2" t="s">
        <v>15</v>
      </c>
      <c r="D109" s="3" t="n">
        <v>5300</v>
      </c>
      <c r="E109" s="3" t="str">
        <f aca="false">IF(OR($C109="KilnStar",$D109="",INDEX('Controller Prices'!$D:$D,MATCH($B109,'Controller Prices'!$B:$B,0))=""),"",INDEX('Controller Prices'!$D:$D,MATCH($B109,'Controller Prices'!$B:$B,0))-$D109)</f>
        <v/>
      </c>
      <c r="F109" s="3" t="n">
        <f aca="false">IF(OR($D109="",INDEX('Controller Prices'!$E:$E,MATCH($B109,'Controller Prices'!$B:$B,0))=""),"",INDEX('Controller Prices'!$E:$E,MATCH($B109,'Controller Prices'!$B:$B,0))-$D109)</f>
        <v>150</v>
      </c>
      <c r="G109" s="3" t="n">
        <v>3180</v>
      </c>
      <c r="H109" s="3" t="str">
        <f aca="false">IF(OR($C109="KilnStar",$G109="",INDEX('Controller Prices'!$H:$H,MATCH($B109,'Controller Prices'!$B:$B,0))=""),"",INDEX('Controller Prices'!$H:$H,MATCH($B109,'Controller Prices'!$B:$B,0))-$G109)</f>
        <v/>
      </c>
      <c r="I109" s="3" t="n">
        <f aca="false">IF(OR($G109="",INDEX('Controller Prices'!$I:$I,MATCH($B109,'Controller Prices'!$B:$B,0))=""),"",INDEX('Controller Prices'!$I:$I,MATCH($B109,'Controller Prices'!$B:$B,0))-$G109)</f>
        <v>90</v>
      </c>
    </row>
    <row r="110" customFormat="false" ht="15" hidden="false" customHeight="false" outlineLevel="0" collapsed="false">
      <c r="A110" s="2" t="s">
        <v>133</v>
      </c>
      <c r="B110" s="2" t="s">
        <v>134</v>
      </c>
      <c r="C110" s="2" t="s">
        <v>15</v>
      </c>
      <c r="D110" s="3" t="n">
        <v>3510</v>
      </c>
      <c r="E110" s="3" t="str">
        <f aca="false">IF(OR($C110="KilnStar",$D110="",INDEX('Controller Prices'!$D:$D,MATCH($B110,'Controller Prices'!$B:$B,0))=""),"",INDEX('Controller Prices'!$D:$D,MATCH($B110,'Controller Prices'!$B:$B,0))-$D110)</f>
        <v/>
      </c>
      <c r="F110" s="3" t="n">
        <f aca="false">IF(OR($D110="",INDEX('Controller Prices'!$E:$E,MATCH($B110,'Controller Prices'!$B:$B,0))=""),"",INDEX('Controller Prices'!$E:$E,MATCH($B110,'Controller Prices'!$B:$B,0))-$D110)</f>
        <v>150</v>
      </c>
      <c r="G110" s="3" t="n">
        <v>2106</v>
      </c>
      <c r="H110" s="3" t="str">
        <f aca="false">IF(OR($C110="KilnStar",$G110="",INDEX('Controller Prices'!$H:$H,MATCH($B110,'Controller Prices'!$B:$B,0))=""),"",INDEX('Controller Prices'!$H:$H,MATCH($B110,'Controller Prices'!$B:$B,0))-$G110)</f>
        <v/>
      </c>
      <c r="I110" s="3" t="n">
        <f aca="false">IF(OR($G110="",INDEX('Controller Prices'!$I:$I,MATCH($B110,'Controller Prices'!$B:$B,0))=""),"",INDEX('Controller Prices'!$I:$I,MATCH($B110,'Controller Prices'!$B:$B,0))-$G110)</f>
        <v>90</v>
      </c>
    </row>
    <row r="111" customFormat="false" ht="15" hidden="false" customHeight="false" outlineLevel="0" collapsed="false">
      <c r="A111" s="2" t="s">
        <v>133</v>
      </c>
      <c r="B111" s="2" t="s">
        <v>135</v>
      </c>
      <c r="C111" s="2" t="s">
        <v>15</v>
      </c>
      <c r="D111" s="3" t="n">
        <v>5000</v>
      </c>
      <c r="E111" s="3" t="str">
        <f aca="false">IF(OR($C111="KilnStar",$D111="",INDEX('Controller Prices'!$D:$D,MATCH($B111,'Controller Prices'!$B:$B,0))=""),"",INDEX('Controller Prices'!$D:$D,MATCH($B111,'Controller Prices'!$B:$B,0))-$D111)</f>
        <v/>
      </c>
      <c r="F111" s="3" t="n">
        <f aca="false">IF(OR($D111="",INDEX('Controller Prices'!$E:$E,MATCH($B111,'Controller Prices'!$B:$B,0))=""),"",INDEX('Controller Prices'!$E:$E,MATCH($B111,'Controller Prices'!$B:$B,0))-$D111)</f>
        <v>150</v>
      </c>
      <c r="G111" s="3" t="n">
        <v>3000</v>
      </c>
      <c r="H111" s="3" t="str">
        <f aca="false">IF(OR($C111="KilnStar",$G111="",INDEX('Controller Prices'!$H:$H,MATCH($B111,'Controller Prices'!$B:$B,0))=""),"",INDEX('Controller Prices'!$H:$H,MATCH($B111,'Controller Prices'!$B:$B,0))-$G111)</f>
        <v/>
      </c>
      <c r="I111" s="3" t="n">
        <f aca="false">IF(OR($G111="",INDEX('Controller Prices'!$I:$I,MATCH($B111,'Controller Prices'!$B:$B,0))=""),"",INDEX('Controller Prices'!$I:$I,MATCH($B111,'Controller Prices'!$B:$B,0))-$G111)</f>
        <v>90</v>
      </c>
    </row>
    <row r="112" customFormat="false" ht="15" hidden="false" customHeight="false" outlineLevel="0" collapsed="false">
      <c r="A112" s="2" t="s">
        <v>133</v>
      </c>
      <c r="B112" s="2" t="s">
        <v>136</v>
      </c>
      <c r="C112" s="2" t="s">
        <v>15</v>
      </c>
      <c r="D112" s="3" t="n">
        <v>5860</v>
      </c>
      <c r="E112" s="3" t="str">
        <f aca="false">IF(OR($C112="KilnStar",$D112="",INDEX('Controller Prices'!$D:$D,MATCH($B112,'Controller Prices'!$B:$B,0))=""),"",INDEX('Controller Prices'!$D:$D,MATCH($B112,'Controller Prices'!$B:$B,0))-$D112)</f>
        <v/>
      </c>
      <c r="F112" s="3" t="n">
        <f aca="false">IF(OR($D112="",INDEX('Controller Prices'!$E:$E,MATCH($B112,'Controller Prices'!$B:$B,0))=""),"",INDEX('Controller Prices'!$E:$E,MATCH($B112,'Controller Prices'!$B:$B,0))-$D112)</f>
        <v>150</v>
      </c>
      <c r="G112" s="3" t="n">
        <v>3516</v>
      </c>
      <c r="H112" s="3" t="str">
        <f aca="false">IF(OR($C112="KilnStar",$G112="",INDEX('Controller Prices'!$H:$H,MATCH($B112,'Controller Prices'!$B:$B,0))=""),"",INDEX('Controller Prices'!$H:$H,MATCH($B112,'Controller Prices'!$B:$B,0))-$G112)</f>
        <v/>
      </c>
      <c r="I112" s="3" t="n">
        <f aca="false">IF(OR($G112="",INDEX('Controller Prices'!$I:$I,MATCH($B112,'Controller Prices'!$B:$B,0))=""),"",INDEX('Controller Prices'!$I:$I,MATCH($B112,'Controller Prices'!$B:$B,0))-$G112)</f>
        <v>90</v>
      </c>
    </row>
    <row r="113" customFormat="false" ht="15" hidden="false" customHeight="false" outlineLevel="0" collapsed="false">
      <c r="A113" s="2" t="s">
        <v>133</v>
      </c>
      <c r="B113" s="2" t="s">
        <v>137</v>
      </c>
      <c r="C113" s="2" t="s">
        <v>15</v>
      </c>
      <c r="D113" s="3" t="n">
        <v>6950</v>
      </c>
      <c r="E113" s="3" t="str">
        <f aca="false">IF(OR($C113="KilnStar",$D113="",INDEX('Controller Prices'!$D:$D,MATCH($B113,'Controller Prices'!$B:$B,0))=""),"",INDEX('Controller Prices'!$D:$D,MATCH($B113,'Controller Prices'!$B:$B,0))-$D113)</f>
        <v/>
      </c>
      <c r="F113" s="3" t="n">
        <f aca="false">IF(OR($D113="",INDEX('Controller Prices'!$E:$E,MATCH($B113,'Controller Prices'!$B:$B,0))=""),"",INDEX('Controller Prices'!$E:$E,MATCH($B113,'Controller Prices'!$B:$B,0))-$D113)</f>
        <v>150</v>
      </c>
      <c r="G113" s="3" t="n">
        <v>4170</v>
      </c>
      <c r="H113" s="3" t="str">
        <f aca="false">IF(OR($C113="KilnStar",$G113="",INDEX('Controller Prices'!$H:$H,MATCH($B113,'Controller Prices'!$B:$B,0))=""),"",INDEX('Controller Prices'!$H:$H,MATCH($B113,'Controller Prices'!$B:$B,0))-$G113)</f>
        <v/>
      </c>
      <c r="I113" s="3" t="n">
        <f aca="false">IF(OR($G113="",INDEX('Controller Prices'!$I:$I,MATCH($B113,'Controller Prices'!$B:$B,0))=""),"",INDEX('Controller Prices'!$I:$I,MATCH($B113,'Controller Prices'!$B:$B,0))-$G113)</f>
        <v>90</v>
      </c>
    </row>
    <row r="114" customFormat="false" ht="15" hidden="false" customHeight="false" outlineLevel="0" collapsed="false">
      <c r="A114" s="2" t="s">
        <v>133</v>
      </c>
      <c r="B114" s="2" t="s">
        <v>138</v>
      </c>
      <c r="C114" s="2" t="s">
        <v>15</v>
      </c>
      <c r="D114" s="3" t="n">
        <v>7350</v>
      </c>
      <c r="E114" s="3" t="str">
        <f aca="false">IF(OR($C114="KilnStar",$D114="",INDEX('Controller Prices'!$D:$D,MATCH($B114,'Controller Prices'!$B:$B,0))=""),"",INDEX('Controller Prices'!$D:$D,MATCH($B114,'Controller Prices'!$B:$B,0))-$D114)</f>
        <v/>
      </c>
      <c r="F114" s="3" t="n">
        <f aca="false">IF(OR($D114="",INDEX('Controller Prices'!$E:$E,MATCH($B114,'Controller Prices'!$B:$B,0))=""),"",INDEX('Controller Prices'!$E:$E,MATCH($B114,'Controller Prices'!$B:$B,0))-$D114)</f>
        <v>150</v>
      </c>
      <c r="G114" s="3" t="n">
        <v>4410</v>
      </c>
      <c r="H114" s="3" t="str">
        <f aca="false">IF(OR($C114="KilnStar",$G114="",INDEX('Controller Prices'!$H:$H,MATCH($B114,'Controller Prices'!$B:$B,0))=""),"",INDEX('Controller Prices'!$H:$H,MATCH($B114,'Controller Prices'!$B:$B,0))-$G114)</f>
        <v/>
      </c>
      <c r="I114" s="3" t="n">
        <f aca="false">IF(OR($G114="",INDEX('Controller Prices'!$I:$I,MATCH($B114,'Controller Prices'!$B:$B,0))=""),"",INDEX('Controller Prices'!$I:$I,MATCH($B114,'Controller Prices'!$B:$B,0))-$G114)</f>
        <v>90</v>
      </c>
    </row>
    <row r="115" customFormat="false" ht="15" hidden="false" customHeight="false" outlineLevel="0" collapsed="false">
      <c r="A115" s="2" t="s">
        <v>133</v>
      </c>
      <c r="B115" s="2" t="s">
        <v>139</v>
      </c>
      <c r="C115" s="2" t="s">
        <v>15</v>
      </c>
      <c r="D115" s="3" t="n">
        <v>7950</v>
      </c>
      <c r="E115" s="3" t="str">
        <f aca="false">IF(OR($C115="KilnStar",$D115="",INDEX('Controller Prices'!$D:$D,MATCH($B115,'Controller Prices'!$B:$B,0))=""),"",INDEX('Controller Prices'!$D:$D,MATCH($B115,'Controller Prices'!$B:$B,0))-$D115)</f>
        <v/>
      </c>
      <c r="F115" s="3" t="n">
        <f aca="false">IF(OR($D115="",INDEX('Controller Prices'!$E:$E,MATCH($B115,'Controller Prices'!$B:$B,0))=""),"",INDEX('Controller Prices'!$E:$E,MATCH($B115,'Controller Prices'!$B:$B,0))-$D115)</f>
        <v>150</v>
      </c>
      <c r="G115" s="3" t="n">
        <v>4770</v>
      </c>
      <c r="H115" s="3" t="str">
        <f aca="false">IF(OR($C115="KilnStar",$G115="",INDEX('Controller Prices'!$H:$H,MATCH($B115,'Controller Prices'!$B:$B,0))=""),"",INDEX('Controller Prices'!$H:$H,MATCH($B115,'Controller Prices'!$B:$B,0))-$G115)</f>
        <v/>
      </c>
      <c r="I115" s="3" t="n">
        <f aca="false">IF(OR($G115="",INDEX('Controller Prices'!$I:$I,MATCH($B115,'Controller Prices'!$B:$B,0))=""),"",INDEX('Controller Prices'!$I:$I,MATCH($B115,'Controller Prices'!$B:$B,0))-$G115)</f>
        <v>90</v>
      </c>
    </row>
    <row r="116" customFormat="false" ht="15" hidden="false" customHeight="false" outlineLevel="0" collapsed="false">
      <c r="A116" s="2" t="s">
        <v>133</v>
      </c>
      <c r="B116" s="2" t="s">
        <v>140</v>
      </c>
      <c r="C116" s="2" t="s">
        <v>15</v>
      </c>
      <c r="D116" s="3" t="n">
        <v>8275</v>
      </c>
      <c r="E116" s="3" t="str">
        <f aca="false">IF(OR($C116="KilnStar",$D116="",INDEX('Controller Prices'!$D:$D,MATCH($B116,'Controller Prices'!$B:$B,0))=""),"",INDEX('Controller Prices'!$D:$D,MATCH($B116,'Controller Prices'!$B:$B,0))-$D116)</f>
        <v/>
      </c>
      <c r="F116" s="3" t="n">
        <f aca="false">IF(OR($D116="",INDEX('Controller Prices'!$E:$E,MATCH($B116,'Controller Prices'!$B:$B,0))=""),"",INDEX('Controller Prices'!$E:$E,MATCH($B116,'Controller Prices'!$B:$B,0))-$D116)</f>
        <v>150</v>
      </c>
      <c r="G116" s="3" t="n">
        <v>4965</v>
      </c>
      <c r="H116" s="3" t="str">
        <f aca="false">IF(OR($C116="KilnStar",$G116="",INDEX('Controller Prices'!$H:$H,MATCH($B116,'Controller Prices'!$B:$B,0))=""),"",INDEX('Controller Prices'!$H:$H,MATCH($B116,'Controller Prices'!$B:$B,0))-$G116)</f>
        <v/>
      </c>
      <c r="I116" s="3" t="n">
        <f aca="false">IF(OR($G116="",INDEX('Controller Prices'!$I:$I,MATCH($B116,'Controller Prices'!$B:$B,0))=""),"",INDEX('Controller Prices'!$I:$I,MATCH($B116,'Controller Prices'!$B:$B,0))-$G116)</f>
        <v>90</v>
      </c>
    </row>
    <row r="117" customFormat="false" ht="15" hidden="false" customHeight="false" outlineLevel="0" collapsed="false">
      <c r="A117" s="2" t="s">
        <v>141</v>
      </c>
      <c r="B117" s="2" t="s">
        <v>142</v>
      </c>
      <c r="C117" s="2" t="s">
        <v>15</v>
      </c>
      <c r="D117" s="3" t="n">
        <v>3510</v>
      </c>
      <c r="E117" s="3" t="str">
        <f aca="false">IF(OR($C117="KilnStar",$D117="",INDEX('Controller Prices'!$D:$D,MATCH($B117,'Controller Prices'!$B:$B,0))=""),"",INDEX('Controller Prices'!$D:$D,MATCH($B117,'Controller Prices'!$B:$B,0))-$D117)</f>
        <v/>
      </c>
      <c r="F117" s="3" t="n">
        <f aca="false">IF(OR($D117="",INDEX('Controller Prices'!$E:$E,MATCH($B117,'Controller Prices'!$B:$B,0))=""),"",INDEX('Controller Prices'!$E:$E,MATCH($B117,'Controller Prices'!$B:$B,0))-$D117)</f>
        <v>150</v>
      </c>
      <c r="G117" s="3" t="n">
        <v>2106</v>
      </c>
      <c r="H117" s="3" t="str">
        <f aca="false">IF(OR($C117="KilnStar",$G117="",INDEX('Controller Prices'!$H:$H,MATCH($B117,'Controller Prices'!$B:$B,0))=""),"",INDEX('Controller Prices'!$H:$H,MATCH($B117,'Controller Prices'!$B:$B,0))-$G117)</f>
        <v/>
      </c>
      <c r="I117" s="3" t="n">
        <f aca="false">IF(OR($G117="",INDEX('Controller Prices'!$I:$I,MATCH($B117,'Controller Prices'!$B:$B,0))=""),"",INDEX('Controller Prices'!$I:$I,MATCH($B117,'Controller Prices'!$B:$B,0))-$G117)</f>
        <v>90</v>
      </c>
    </row>
    <row r="118" customFormat="false" ht="15" hidden="false" customHeight="false" outlineLevel="0" collapsed="false">
      <c r="A118" s="2" t="s">
        <v>141</v>
      </c>
      <c r="B118" s="2" t="s">
        <v>143</v>
      </c>
      <c r="C118" s="2" t="s">
        <v>15</v>
      </c>
      <c r="D118" s="3" t="n">
        <v>3925</v>
      </c>
      <c r="E118" s="3" t="str">
        <f aca="false">IF(OR($C118="KilnStar",$D118="",INDEX('Controller Prices'!$D:$D,MATCH($B118,'Controller Prices'!$B:$B,0))=""),"",INDEX('Controller Prices'!$D:$D,MATCH($B118,'Controller Prices'!$B:$B,0))-$D118)</f>
        <v/>
      </c>
      <c r="F118" s="3" t="n">
        <f aca="false">IF(OR($D118="",INDEX('Controller Prices'!$E:$E,MATCH($B118,'Controller Prices'!$B:$B,0))=""),"",INDEX('Controller Prices'!$E:$E,MATCH($B118,'Controller Prices'!$B:$B,0))-$D118)</f>
        <v>150</v>
      </c>
      <c r="G118" s="3" t="n">
        <v>2355</v>
      </c>
      <c r="H118" s="3" t="str">
        <f aca="false">IF(OR($C118="KilnStar",$G118="",INDEX('Controller Prices'!$H:$H,MATCH($B118,'Controller Prices'!$B:$B,0))=""),"",INDEX('Controller Prices'!$H:$H,MATCH($B118,'Controller Prices'!$B:$B,0))-$G118)</f>
        <v/>
      </c>
      <c r="I118" s="3" t="n">
        <f aca="false">IF(OR($G118="",INDEX('Controller Prices'!$I:$I,MATCH($B118,'Controller Prices'!$B:$B,0))=""),"",INDEX('Controller Prices'!$I:$I,MATCH($B118,'Controller Prices'!$B:$B,0))-$G118)</f>
        <v>90</v>
      </c>
    </row>
    <row r="119" customFormat="false" ht="15" hidden="false" customHeight="false" outlineLevel="0" collapsed="false">
      <c r="A119" s="2" t="s">
        <v>141</v>
      </c>
      <c r="B119" s="2" t="s">
        <v>144</v>
      </c>
      <c r="C119" s="2" t="s">
        <v>15</v>
      </c>
      <c r="D119" s="3" t="n">
        <v>4625</v>
      </c>
      <c r="E119" s="3" t="str">
        <f aca="false">IF(OR($C119="KilnStar",$D119="",INDEX('Controller Prices'!$D:$D,MATCH($B119,'Controller Prices'!$B:$B,0))=""),"",INDEX('Controller Prices'!$D:$D,MATCH($B119,'Controller Prices'!$B:$B,0))-$D119)</f>
        <v/>
      </c>
      <c r="F119" s="3" t="n">
        <f aca="false">IF(OR($D119="",INDEX('Controller Prices'!$E:$E,MATCH($B119,'Controller Prices'!$B:$B,0))=""),"",INDEX('Controller Prices'!$E:$E,MATCH($B119,'Controller Prices'!$B:$B,0))-$D119)</f>
        <v>150</v>
      </c>
      <c r="G119" s="3" t="n">
        <v>2775</v>
      </c>
      <c r="H119" s="3" t="str">
        <f aca="false">IF(OR($C119="KilnStar",$G119="",INDEX('Controller Prices'!$H:$H,MATCH($B119,'Controller Prices'!$B:$B,0))=""),"",INDEX('Controller Prices'!$H:$H,MATCH($B119,'Controller Prices'!$B:$B,0))-$G119)</f>
        <v/>
      </c>
      <c r="I119" s="3" t="n">
        <f aca="false">IF(OR($G119="",INDEX('Controller Prices'!$I:$I,MATCH($B119,'Controller Prices'!$B:$B,0))=""),"",INDEX('Controller Prices'!$I:$I,MATCH($B119,'Controller Prices'!$B:$B,0))-$G119)</f>
        <v>90</v>
      </c>
    </row>
    <row r="120" customFormat="false" ht="15" hidden="false" customHeight="false" outlineLevel="0" collapsed="false">
      <c r="A120" s="2" t="s">
        <v>141</v>
      </c>
      <c r="B120" s="2" t="s">
        <v>145</v>
      </c>
      <c r="C120" s="2" t="s">
        <v>15</v>
      </c>
      <c r="D120" s="3" t="n">
        <v>5185</v>
      </c>
      <c r="E120" s="3" t="str">
        <f aca="false">IF(OR($C120="KilnStar",$D120="",INDEX('Controller Prices'!$D:$D,MATCH($B120,'Controller Prices'!$B:$B,0))=""),"",INDEX('Controller Prices'!$D:$D,MATCH($B120,'Controller Prices'!$B:$B,0))-$D120)</f>
        <v/>
      </c>
      <c r="F120" s="3" t="n">
        <f aca="false">IF(OR($D120="",INDEX('Controller Prices'!$E:$E,MATCH($B120,'Controller Prices'!$B:$B,0))=""),"",INDEX('Controller Prices'!$E:$E,MATCH($B120,'Controller Prices'!$B:$B,0))-$D120)</f>
        <v>150</v>
      </c>
      <c r="G120" s="3" t="n">
        <v>3111</v>
      </c>
      <c r="H120" s="3" t="str">
        <f aca="false">IF(OR($C120="KilnStar",$G120="",INDEX('Controller Prices'!$H:$H,MATCH($B120,'Controller Prices'!$B:$B,0))=""),"",INDEX('Controller Prices'!$H:$H,MATCH($B120,'Controller Prices'!$B:$B,0))-$G120)</f>
        <v/>
      </c>
      <c r="I120" s="3" t="n">
        <f aca="false">IF(OR($G120="",INDEX('Controller Prices'!$I:$I,MATCH($B120,'Controller Prices'!$B:$B,0))=""),"",INDEX('Controller Prices'!$I:$I,MATCH($B120,'Controller Prices'!$B:$B,0))-$G120)</f>
        <v>90</v>
      </c>
    </row>
    <row r="121" customFormat="false" ht="15" hidden="false" customHeight="false" outlineLevel="0" collapsed="false">
      <c r="A121" s="2" t="s">
        <v>141</v>
      </c>
      <c r="B121" s="2" t="s">
        <v>146</v>
      </c>
      <c r="C121" s="2" t="s">
        <v>15</v>
      </c>
      <c r="D121" s="3" t="n">
        <v>5530</v>
      </c>
      <c r="E121" s="3" t="str">
        <f aca="false">IF(OR($C121="KilnStar",$D121="",INDEX('Controller Prices'!$D:$D,MATCH($B121,'Controller Prices'!$B:$B,0))=""),"",INDEX('Controller Prices'!$D:$D,MATCH($B121,'Controller Prices'!$B:$B,0))-$D121)</f>
        <v/>
      </c>
      <c r="F121" s="3" t="n">
        <f aca="false">IF(OR($D121="",INDEX('Controller Prices'!$E:$E,MATCH($B121,'Controller Prices'!$B:$B,0))=""),"",INDEX('Controller Prices'!$E:$E,MATCH($B121,'Controller Prices'!$B:$B,0))-$D121)</f>
        <v>150</v>
      </c>
      <c r="G121" s="3" t="n">
        <v>3318</v>
      </c>
      <c r="H121" s="3" t="str">
        <f aca="false">IF(OR($C121="KilnStar",$G121="",INDEX('Controller Prices'!$H:$H,MATCH($B121,'Controller Prices'!$B:$B,0))=""),"",INDEX('Controller Prices'!$H:$H,MATCH($B121,'Controller Prices'!$B:$B,0))-$G121)</f>
        <v/>
      </c>
      <c r="I121" s="3" t="n">
        <f aca="false">IF(OR($G121="",INDEX('Controller Prices'!$I:$I,MATCH($B121,'Controller Prices'!$B:$B,0))=""),"",INDEX('Controller Prices'!$I:$I,MATCH($B121,'Controller Prices'!$B:$B,0))-$G121)</f>
        <v>90</v>
      </c>
    </row>
    <row r="122" customFormat="false" ht="15" hidden="false" customHeight="false" outlineLevel="0" collapsed="false">
      <c r="A122" s="2" t="s">
        <v>141</v>
      </c>
      <c r="B122" s="2" t="s">
        <v>147</v>
      </c>
      <c r="C122" s="2" t="s">
        <v>15</v>
      </c>
      <c r="D122" s="3" t="n">
        <v>5450</v>
      </c>
      <c r="E122" s="3" t="str">
        <f aca="false">IF(OR($C122="KilnStar",$D122="",INDEX('Controller Prices'!$D:$D,MATCH($B122,'Controller Prices'!$B:$B,0))=""),"",INDEX('Controller Prices'!$D:$D,MATCH($B122,'Controller Prices'!$B:$B,0))-$D122)</f>
        <v/>
      </c>
      <c r="F122" s="3" t="n">
        <f aca="false">IF(OR($D122="",INDEX('Controller Prices'!$E:$E,MATCH($B122,'Controller Prices'!$B:$B,0))=""),"",INDEX('Controller Prices'!$E:$E,MATCH($B122,'Controller Prices'!$B:$B,0))-$D122)</f>
        <v>150</v>
      </c>
      <c r="G122" s="3" t="n">
        <v>3270</v>
      </c>
      <c r="H122" s="3" t="str">
        <f aca="false">IF(OR($C122="KilnStar",$G122="",INDEX('Controller Prices'!$H:$H,MATCH($B122,'Controller Prices'!$B:$B,0))=""),"",INDEX('Controller Prices'!$H:$H,MATCH($B122,'Controller Prices'!$B:$B,0))-$G122)</f>
        <v/>
      </c>
      <c r="I122" s="3" t="n">
        <f aca="false">IF(OR($G122="",INDEX('Controller Prices'!$I:$I,MATCH($B122,'Controller Prices'!$B:$B,0))=""),"",INDEX('Controller Prices'!$I:$I,MATCH($B122,'Controller Prices'!$B:$B,0))-$G122)</f>
        <v>90</v>
      </c>
    </row>
    <row r="123" customFormat="false" ht="15" hidden="false" customHeight="false" outlineLevel="0" collapsed="false">
      <c r="A123" s="2" t="s">
        <v>141</v>
      </c>
      <c r="B123" s="2" t="s">
        <v>148</v>
      </c>
      <c r="C123" s="2" t="s">
        <v>15</v>
      </c>
      <c r="D123" s="3" t="n">
        <v>5985</v>
      </c>
      <c r="E123" s="3" t="str">
        <f aca="false">IF(OR($C123="KilnStar",$D123="",INDEX('Controller Prices'!$D:$D,MATCH($B123,'Controller Prices'!$B:$B,0))=""),"",INDEX('Controller Prices'!$D:$D,MATCH($B123,'Controller Prices'!$B:$B,0))-$D123)</f>
        <v/>
      </c>
      <c r="F123" s="3" t="n">
        <f aca="false">IF(OR($D123="",INDEX('Controller Prices'!$E:$E,MATCH($B123,'Controller Prices'!$B:$B,0))=""),"",INDEX('Controller Prices'!$E:$E,MATCH($B123,'Controller Prices'!$B:$B,0))-$D123)</f>
        <v>-150</v>
      </c>
      <c r="G123" s="3" t="n">
        <v>3591</v>
      </c>
      <c r="H123" s="3" t="str">
        <f aca="false">IF(OR($C123="KilnStar",$G123="",INDEX('Controller Prices'!$H:$H,MATCH($B123,'Controller Prices'!$B:$B,0))=""),"",INDEX('Controller Prices'!$H:$H,MATCH($B123,'Controller Prices'!$B:$B,0))-$G123)</f>
        <v/>
      </c>
      <c r="I123" s="3" t="n">
        <f aca="false">IF(OR($G123="",INDEX('Controller Prices'!$I:$I,MATCH($B123,'Controller Prices'!$B:$B,0))=""),"",INDEX('Controller Prices'!$I:$I,MATCH($B123,'Controller Prices'!$B:$B,0))-$G123)</f>
        <v>-90</v>
      </c>
    </row>
    <row r="124" customFormat="false" ht="15" hidden="false" customHeight="false" outlineLevel="0" collapsed="false">
      <c r="A124" s="2" t="s">
        <v>141</v>
      </c>
      <c r="B124" s="2" t="s">
        <v>149</v>
      </c>
      <c r="C124" s="2" t="s">
        <v>15</v>
      </c>
      <c r="D124" s="3" t="n">
        <v>6425</v>
      </c>
      <c r="E124" s="3" t="str">
        <f aca="false">IF(OR($C124="KilnStar",$D124="",INDEX('Controller Prices'!$D:$D,MATCH($B124,'Controller Prices'!$B:$B,0))=""),"",INDEX('Controller Prices'!$D:$D,MATCH($B124,'Controller Prices'!$B:$B,0))-$D124)</f>
        <v/>
      </c>
      <c r="F124" s="3" t="n">
        <f aca="false">IF(OR($D124="",INDEX('Controller Prices'!$E:$E,MATCH($B124,'Controller Prices'!$B:$B,0))=""),"",INDEX('Controller Prices'!$E:$E,MATCH($B124,'Controller Prices'!$B:$B,0))-$D124)</f>
        <v>150</v>
      </c>
      <c r="G124" s="3" t="n">
        <v>3855</v>
      </c>
      <c r="H124" s="3" t="str">
        <f aca="false">IF(OR($C124="KilnStar",$G124="",INDEX('Controller Prices'!$H:$H,MATCH($B124,'Controller Prices'!$B:$B,0))=""),"",INDEX('Controller Prices'!$H:$H,MATCH($B124,'Controller Prices'!$B:$B,0))-$G124)</f>
        <v/>
      </c>
      <c r="I124" s="3" t="n">
        <f aca="false">IF(OR($G124="",INDEX('Controller Prices'!$I:$I,MATCH($B124,'Controller Prices'!$B:$B,0))=""),"",INDEX('Controller Prices'!$I:$I,MATCH($B124,'Controller Prices'!$B:$B,0))-$G124)</f>
        <v>90</v>
      </c>
    </row>
    <row r="125" customFormat="false" ht="15" hidden="false" customHeight="false" outlineLevel="0" collapsed="false">
      <c r="A125" s="2" t="s">
        <v>141</v>
      </c>
      <c r="B125" s="2" t="s">
        <v>150</v>
      </c>
      <c r="C125" s="2" t="s">
        <v>15</v>
      </c>
      <c r="D125" s="3" t="n">
        <v>5800</v>
      </c>
      <c r="E125" s="3" t="str">
        <f aca="false">IF(OR($C125="KilnStar",$D125="",INDEX('Controller Prices'!$D:$D,MATCH($B125,'Controller Prices'!$B:$B,0))=""),"",INDEX('Controller Prices'!$D:$D,MATCH($B125,'Controller Prices'!$B:$B,0))-$D125)</f>
        <v/>
      </c>
      <c r="F125" s="3" t="n">
        <f aca="false">IF(OR($D125="",INDEX('Controller Prices'!$E:$E,MATCH($B125,'Controller Prices'!$B:$B,0))=""),"",INDEX('Controller Prices'!$E:$E,MATCH($B125,'Controller Prices'!$B:$B,0))-$D125)</f>
        <v>150</v>
      </c>
      <c r="G125" s="3" t="n">
        <v>3480</v>
      </c>
      <c r="H125" s="3" t="str">
        <f aca="false">IF(OR($C125="KilnStar",$G125="",INDEX('Controller Prices'!$H:$H,MATCH($B125,'Controller Prices'!$B:$B,0))=""),"",INDEX('Controller Prices'!$H:$H,MATCH($B125,'Controller Prices'!$B:$B,0))-$G125)</f>
        <v/>
      </c>
      <c r="I125" s="3" t="n">
        <f aca="false">IF(OR($G125="",INDEX('Controller Prices'!$I:$I,MATCH($B125,'Controller Prices'!$B:$B,0))=""),"",INDEX('Controller Prices'!$I:$I,MATCH($B125,'Controller Prices'!$B:$B,0))-$G125)</f>
        <v>90</v>
      </c>
    </row>
    <row r="126" customFormat="false" ht="15" hidden="false" customHeight="false" outlineLevel="0" collapsed="false">
      <c r="A126" s="2" t="s">
        <v>141</v>
      </c>
      <c r="B126" s="2" t="s">
        <v>151</v>
      </c>
      <c r="C126" s="2" t="s">
        <v>15</v>
      </c>
      <c r="D126" s="3" t="n">
        <v>6800</v>
      </c>
      <c r="E126" s="3" t="str">
        <f aca="false">IF(OR($C126="KilnStar",$D126="",INDEX('Controller Prices'!$D:$D,MATCH($B126,'Controller Prices'!$B:$B,0))=""),"",INDEX('Controller Prices'!$D:$D,MATCH($B126,'Controller Prices'!$B:$B,0))-$D126)</f>
        <v/>
      </c>
      <c r="F126" s="3" t="n">
        <f aca="false">IF(OR($D126="",INDEX('Controller Prices'!$E:$E,MATCH($B126,'Controller Prices'!$B:$B,0))=""),"",INDEX('Controller Prices'!$E:$E,MATCH($B126,'Controller Prices'!$B:$B,0))-$D126)</f>
        <v>150</v>
      </c>
      <c r="G126" s="3" t="n">
        <v>4080</v>
      </c>
      <c r="H126" s="3" t="str">
        <f aca="false">IF(OR($C126="KilnStar",$G126="",INDEX('Controller Prices'!$H:$H,MATCH($B126,'Controller Prices'!$B:$B,0))=""),"",INDEX('Controller Prices'!$H:$H,MATCH($B126,'Controller Prices'!$B:$B,0))-$G126)</f>
        <v/>
      </c>
      <c r="I126" s="3" t="n">
        <f aca="false">IF(OR($G126="",INDEX('Controller Prices'!$I:$I,MATCH($B126,'Controller Prices'!$B:$B,0))=""),"",INDEX('Controller Prices'!$I:$I,MATCH($B126,'Controller Prices'!$B:$B,0))-$G126)</f>
        <v>90</v>
      </c>
    </row>
    <row r="127" customFormat="false" ht="15" hidden="false" customHeight="false" outlineLevel="0" collapsed="false">
      <c r="A127" s="2" t="s">
        <v>141</v>
      </c>
      <c r="B127" s="2" t="s">
        <v>152</v>
      </c>
      <c r="C127" s="2" t="s">
        <v>15</v>
      </c>
      <c r="D127" s="3" t="n">
        <v>7505</v>
      </c>
      <c r="E127" s="3" t="str">
        <f aca="false">IF(OR($C127="KilnStar",$D127="",INDEX('Controller Prices'!$D:$D,MATCH($B127,'Controller Prices'!$B:$B,0))=""),"",INDEX('Controller Prices'!$D:$D,MATCH($B127,'Controller Prices'!$B:$B,0))-$D127)</f>
        <v/>
      </c>
      <c r="F127" s="3" t="n">
        <f aca="false">IF(OR($D127="",INDEX('Controller Prices'!$E:$E,MATCH($B127,'Controller Prices'!$B:$B,0))=""),"",INDEX('Controller Prices'!$E:$E,MATCH($B127,'Controller Prices'!$B:$B,0))-$D127)</f>
        <v>150</v>
      </c>
      <c r="G127" s="3" t="n">
        <v>4503</v>
      </c>
      <c r="H127" s="3" t="str">
        <f aca="false">IF(OR($C127="KilnStar",$G127="",INDEX('Controller Prices'!$H:$H,MATCH($B127,'Controller Prices'!$B:$B,0))=""),"",INDEX('Controller Prices'!$H:$H,MATCH($B127,'Controller Prices'!$B:$B,0))-$G127)</f>
        <v/>
      </c>
      <c r="I127" s="3" t="n">
        <f aca="false">IF(OR($G127="",INDEX('Controller Prices'!$I:$I,MATCH($B127,'Controller Prices'!$B:$B,0))=""),"",INDEX('Controller Prices'!$I:$I,MATCH($B127,'Controller Prices'!$B:$B,0))-$G127)</f>
        <v>90</v>
      </c>
    </row>
    <row r="128" customFormat="false" ht="15" hidden="false" customHeight="false" outlineLevel="0" collapsed="false">
      <c r="A128" s="2" t="s">
        <v>141</v>
      </c>
      <c r="B128" s="2" t="s">
        <v>153</v>
      </c>
      <c r="C128" s="2" t="s">
        <v>15</v>
      </c>
      <c r="D128" s="3" t="n">
        <v>8050</v>
      </c>
      <c r="E128" s="3" t="str">
        <f aca="false">IF(OR($C128="KilnStar",$D128="",INDEX('Controller Prices'!$D:$D,MATCH($B128,'Controller Prices'!$B:$B,0))=""),"",INDEX('Controller Prices'!$D:$D,MATCH($B128,'Controller Prices'!$B:$B,0))-$D128)</f>
        <v/>
      </c>
      <c r="F128" s="3" t="n">
        <f aca="false">IF(OR($D128="",INDEX('Controller Prices'!$E:$E,MATCH($B128,'Controller Prices'!$B:$B,0))=""),"",INDEX('Controller Prices'!$E:$E,MATCH($B128,'Controller Prices'!$B:$B,0))-$D128)</f>
        <v>150</v>
      </c>
      <c r="G128" s="3" t="n">
        <v>4830</v>
      </c>
      <c r="H128" s="3" t="str">
        <f aca="false">IF(OR($C128="KilnStar",$G128="",INDEX('Controller Prices'!$H:$H,MATCH($B128,'Controller Prices'!$B:$B,0))=""),"",INDEX('Controller Prices'!$H:$H,MATCH($B128,'Controller Prices'!$B:$B,0))-$G128)</f>
        <v/>
      </c>
      <c r="I128" s="3" t="n">
        <f aca="false">IF(OR($G128="",INDEX('Controller Prices'!$I:$I,MATCH($B128,'Controller Prices'!$B:$B,0))=""),"",INDEX('Controller Prices'!$I:$I,MATCH($B128,'Controller Prices'!$B:$B,0))-$G128)</f>
        <v>90</v>
      </c>
    </row>
    <row r="129" customFormat="false" ht="15" hidden="false" customHeight="false" outlineLevel="0" collapsed="false">
      <c r="A129" s="2" t="s">
        <v>154</v>
      </c>
      <c r="B129" s="2" t="s">
        <v>155</v>
      </c>
      <c r="C129" s="2" t="s">
        <v>15</v>
      </c>
      <c r="D129" s="3" t="n">
        <v>7500</v>
      </c>
      <c r="E129" s="3" t="str">
        <f aca="false">IF(OR($C129="KilnStar",$D129="",INDEX('Controller Prices'!$D:$D,MATCH($B129,'Controller Prices'!$B:$B,0))=""),"",INDEX('Controller Prices'!$D:$D,MATCH($B129,'Controller Prices'!$B:$B,0))-$D129)</f>
        <v/>
      </c>
      <c r="F129" s="3" t="n">
        <f aca="false">IF(OR($D129="",INDEX('Controller Prices'!$E:$E,MATCH($B129,'Controller Prices'!$B:$B,0))=""),"",INDEX('Controller Prices'!$E:$E,MATCH($B129,'Controller Prices'!$B:$B,0))-$D129)</f>
        <v>150</v>
      </c>
      <c r="G129" s="3" t="n">
        <v>5250</v>
      </c>
      <c r="H129" s="3" t="str">
        <f aca="false">IF(OR($C129="KilnStar",$G129="",INDEX('Controller Prices'!$H:$H,MATCH($B129,'Controller Prices'!$B:$B,0))=""),"",INDEX('Controller Prices'!$H:$H,MATCH($B129,'Controller Prices'!$B:$B,0))-$G129)</f>
        <v/>
      </c>
      <c r="I129" s="3" t="n">
        <f aca="false">IF(OR($G129="",INDEX('Controller Prices'!$I:$I,MATCH($B129,'Controller Prices'!$B:$B,0))=""),"",INDEX('Controller Prices'!$I:$I,MATCH($B129,'Controller Prices'!$B:$B,0))-$G129)</f>
        <v>105</v>
      </c>
    </row>
    <row r="130" customFormat="false" ht="15" hidden="false" customHeight="false" outlineLevel="0" collapsed="false">
      <c r="A130" s="2" t="s">
        <v>154</v>
      </c>
      <c r="B130" s="2" t="s">
        <v>156</v>
      </c>
      <c r="C130" s="2" t="s">
        <v>15</v>
      </c>
      <c r="D130" s="3" t="n">
        <v>8550</v>
      </c>
      <c r="E130" s="3" t="str">
        <f aca="false">IF(OR($C130="KilnStar",$D130="",INDEX('Controller Prices'!$D:$D,MATCH($B130,'Controller Prices'!$B:$B,0))=""),"",INDEX('Controller Prices'!$D:$D,MATCH($B130,'Controller Prices'!$B:$B,0))-$D130)</f>
        <v/>
      </c>
      <c r="F130" s="3" t="n">
        <f aca="false">IF(OR($D130="",INDEX('Controller Prices'!$E:$E,MATCH($B130,'Controller Prices'!$B:$B,0))=""),"",INDEX('Controller Prices'!$E:$E,MATCH($B130,'Controller Prices'!$B:$B,0))-$D130)</f>
        <v>450</v>
      </c>
      <c r="G130" s="3" t="n">
        <v>5985</v>
      </c>
      <c r="H130" s="3" t="str">
        <f aca="false">IF(OR($C130="KilnStar",$G130="",INDEX('Controller Prices'!$H:$H,MATCH($B130,'Controller Prices'!$B:$B,0))=""),"",INDEX('Controller Prices'!$H:$H,MATCH($B130,'Controller Prices'!$B:$B,0))-$G130)</f>
        <v/>
      </c>
      <c r="I130" s="3" t="n">
        <f aca="false">IF(OR($G130="",INDEX('Controller Prices'!$I:$I,MATCH($B130,'Controller Prices'!$B:$B,0))=""),"",INDEX('Controller Prices'!$I:$I,MATCH($B130,'Controller Prices'!$B:$B,0))-$G130)</f>
        <v>315</v>
      </c>
    </row>
    <row r="131" customFormat="false" ht="15" hidden="false" customHeight="false" outlineLevel="0" collapsed="false">
      <c r="A131" s="2" t="s">
        <v>154</v>
      </c>
      <c r="B131" s="2" t="s">
        <v>157</v>
      </c>
      <c r="C131" s="2" t="s">
        <v>15</v>
      </c>
      <c r="D131" s="3" t="n">
        <v>9775</v>
      </c>
      <c r="E131" s="3" t="str">
        <f aca="false">IF(OR($C131="KilnStar",$D131="",INDEX('Controller Prices'!$D:$D,MATCH($B131,'Controller Prices'!$B:$B,0))=""),"",INDEX('Controller Prices'!$D:$D,MATCH($B131,'Controller Prices'!$B:$B,0))-$D131)</f>
        <v/>
      </c>
      <c r="F131" s="3" t="n">
        <f aca="false">IF(OR($D131="",INDEX('Controller Prices'!$E:$E,MATCH($B131,'Controller Prices'!$B:$B,0))=""),"",INDEX('Controller Prices'!$E:$E,MATCH($B131,'Controller Prices'!$B:$B,0))-$D131)</f>
        <v>150</v>
      </c>
      <c r="G131" s="3" t="n">
        <v>6842.5</v>
      </c>
      <c r="H131" s="3" t="str">
        <f aca="false">IF(OR($C131="KilnStar",$G131="",INDEX('Controller Prices'!$H:$H,MATCH($B131,'Controller Prices'!$B:$B,0))=""),"",INDEX('Controller Prices'!$H:$H,MATCH($B131,'Controller Prices'!$B:$B,0))-$G131)</f>
        <v/>
      </c>
      <c r="I131" s="3" t="n">
        <f aca="false">IF(OR($G131="",INDEX('Controller Prices'!$I:$I,MATCH($B131,'Controller Prices'!$B:$B,0))=""),"",INDEX('Controller Prices'!$I:$I,MATCH($B131,'Controller Prices'!$B:$B,0))-$G131)</f>
        <v>105</v>
      </c>
    </row>
    <row r="132" customFormat="false" ht="15" hidden="false" customHeight="false" outlineLevel="0" collapsed="false">
      <c r="A132" s="2" t="s">
        <v>154</v>
      </c>
      <c r="B132" s="2" t="s">
        <v>158</v>
      </c>
      <c r="C132" s="2" t="s">
        <v>15</v>
      </c>
      <c r="D132" s="3" t="n">
        <v>11500</v>
      </c>
      <c r="E132" s="3" t="str">
        <f aca="false">IF(OR($C132="KilnStar",$D132="",INDEX('Controller Prices'!$D:$D,MATCH($B132,'Controller Prices'!$B:$B,0))=""),"",INDEX('Controller Prices'!$D:$D,MATCH($B132,'Controller Prices'!$B:$B,0))-$D132)</f>
        <v/>
      </c>
      <c r="F132" s="3" t="n">
        <f aca="false">IF(OR($D132="",INDEX('Controller Prices'!$E:$E,MATCH($B132,'Controller Prices'!$B:$B,0))=""),"",INDEX('Controller Prices'!$E:$E,MATCH($B132,'Controller Prices'!$B:$B,0))-$D132)</f>
        <v>150</v>
      </c>
      <c r="G132" s="3" t="n">
        <v>8050</v>
      </c>
      <c r="H132" s="3" t="str">
        <f aca="false">IF(OR($C132="KilnStar",$G132="",INDEX('Controller Prices'!$H:$H,MATCH($B132,'Controller Prices'!$B:$B,0))=""),"",INDEX('Controller Prices'!$H:$H,MATCH($B132,'Controller Prices'!$B:$B,0))-$G132)</f>
        <v/>
      </c>
      <c r="I132" s="3" t="n">
        <f aca="false">IF(OR($G132="",INDEX('Controller Prices'!$I:$I,MATCH($B132,'Controller Prices'!$B:$B,0))=""),"",INDEX('Controller Prices'!$I:$I,MATCH($B132,'Controller Prices'!$B:$B,0))-$G132)</f>
        <v>105</v>
      </c>
    </row>
    <row r="133" customFormat="false" ht="15" hidden="false" customHeight="false" outlineLevel="0" collapsed="false">
      <c r="A133" s="2" t="s">
        <v>154</v>
      </c>
      <c r="B133" s="2" t="s">
        <v>159</v>
      </c>
      <c r="C133" s="2" t="s">
        <v>15</v>
      </c>
      <c r="D133" s="3" t="n">
        <v>12500</v>
      </c>
      <c r="E133" s="3" t="str">
        <f aca="false">IF(OR($C133="KilnStar",$D133="",INDEX('Controller Prices'!$D:$D,MATCH($B133,'Controller Prices'!$B:$B,0))=""),"",INDEX('Controller Prices'!$D:$D,MATCH($B133,'Controller Prices'!$B:$B,0))-$D133)</f>
        <v/>
      </c>
      <c r="F133" s="3" t="n">
        <f aca="false">IF(OR($D133="",INDEX('Controller Prices'!$E:$E,MATCH($B133,'Controller Prices'!$B:$B,0))=""),"",INDEX('Controller Prices'!$E:$E,MATCH($B133,'Controller Prices'!$B:$B,0))-$D133)</f>
        <v>150</v>
      </c>
      <c r="G133" s="3" t="n">
        <v>8750</v>
      </c>
      <c r="H133" s="3" t="str">
        <f aca="false">IF(OR($C133="KilnStar",$G133="",INDEX('Controller Prices'!$H:$H,MATCH($B133,'Controller Prices'!$B:$B,0))=""),"",INDEX('Controller Prices'!$H:$H,MATCH($B133,'Controller Prices'!$B:$B,0))-$G133)</f>
        <v/>
      </c>
      <c r="I133" s="3" t="n">
        <f aca="false">IF(OR($G133="",INDEX('Controller Prices'!$I:$I,MATCH($B133,'Controller Prices'!$B:$B,0))=""),"",INDEX('Controller Prices'!$I:$I,MATCH($B133,'Controller Prices'!$B:$B,0))-$G133)</f>
        <v>105</v>
      </c>
    </row>
    <row r="134" customFormat="false" ht="15" hidden="false" customHeight="false" outlineLevel="0" collapsed="false">
      <c r="A134" s="2" t="s">
        <v>154</v>
      </c>
      <c r="B134" s="2" t="s">
        <v>160</v>
      </c>
      <c r="C134" s="2" t="s">
        <v>15</v>
      </c>
      <c r="D134" s="3" t="n">
        <v>13500</v>
      </c>
      <c r="E134" s="3" t="str">
        <f aca="false">IF(OR($C134="KilnStar",$D134="",INDEX('Controller Prices'!$D:$D,MATCH($B134,'Controller Prices'!$B:$B,0))=""),"",INDEX('Controller Prices'!$D:$D,MATCH($B134,'Controller Prices'!$B:$B,0))-$D134)</f>
        <v/>
      </c>
      <c r="F134" s="3" t="n">
        <f aca="false">IF(OR($D134="",INDEX('Controller Prices'!$E:$E,MATCH($B134,'Controller Prices'!$B:$B,0))=""),"",INDEX('Controller Prices'!$E:$E,MATCH($B134,'Controller Prices'!$B:$B,0))-$D134)</f>
        <v>150</v>
      </c>
      <c r="G134" s="3" t="n">
        <v>9450</v>
      </c>
      <c r="H134" s="3" t="str">
        <f aca="false">IF(OR($C134="KilnStar",$G134="",INDEX('Controller Prices'!$H:$H,MATCH($B134,'Controller Prices'!$B:$B,0))=""),"",INDEX('Controller Prices'!$H:$H,MATCH($B134,'Controller Prices'!$B:$B,0))-$G134)</f>
        <v/>
      </c>
      <c r="I134" s="3" t="n">
        <f aca="false">IF(OR($G134="",INDEX('Controller Prices'!$I:$I,MATCH($B134,'Controller Prices'!$B:$B,0))=""),"",INDEX('Controller Prices'!$I:$I,MATCH($B134,'Controller Prices'!$B:$B,0))-$G134)</f>
        <v>105</v>
      </c>
    </row>
    <row r="135" customFormat="false" ht="15" hidden="false" customHeight="false" outlineLevel="0" collapsed="false">
      <c r="A135" s="2" t="s">
        <v>154</v>
      </c>
      <c r="B135" s="2" t="s">
        <v>161</v>
      </c>
      <c r="C135" s="2" t="s">
        <v>15</v>
      </c>
      <c r="D135" s="3" t="n">
        <v>10750</v>
      </c>
      <c r="E135" s="3" t="str">
        <f aca="false">IF(OR($C135="KilnStar",$D135="",INDEX('Controller Prices'!$D:$D,MATCH($B135,'Controller Prices'!$B:$B,0))=""),"",INDEX('Controller Prices'!$D:$D,MATCH($B135,'Controller Prices'!$B:$B,0))-$D135)</f>
        <v/>
      </c>
      <c r="F135" s="3" t="n">
        <f aca="false">IF(OR($D135="",INDEX('Controller Prices'!$E:$E,MATCH($B135,'Controller Prices'!$B:$B,0))=""),"",INDEX('Controller Prices'!$E:$E,MATCH($B135,'Controller Prices'!$B:$B,0))-$D135)</f>
        <v>150</v>
      </c>
      <c r="G135" s="3" t="n">
        <v>7525</v>
      </c>
      <c r="H135" s="3" t="str">
        <f aca="false">IF(OR($C135="KilnStar",$G135="",INDEX('Controller Prices'!$H:$H,MATCH($B135,'Controller Prices'!$B:$B,0))=""),"",INDEX('Controller Prices'!$H:$H,MATCH($B135,'Controller Prices'!$B:$B,0))-$G135)</f>
        <v/>
      </c>
      <c r="I135" s="3" t="n">
        <f aca="false">IF(OR($G135="",INDEX('Controller Prices'!$I:$I,MATCH($B135,'Controller Prices'!$B:$B,0))=""),"",INDEX('Controller Prices'!$I:$I,MATCH($B135,'Controller Prices'!$B:$B,0))-$G135)</f>
        <v>105</v>
      </c>
    </row>
    <row r="136" customFormat="false" ht="15" hidden="false" customHeight="false" outlineLevel="0" collapsed="false">
      <c r="A136" s="2" t="s">
        <v>154</v>
      </c>
      <c r="B136" s="2" t="s">
        <v>162</v>
      </c>
      <c r="C136" s="2" t="s">
        <v>15</v>
      </c>
      <c r="D136" s="3" t="n">
        <v>13500</v>
      </c>
      <c r="E136" s="3" t="str">
        <f aca="false">IF(OR($C136="KilnStar",$D136="",INDEX('Controller Prices'!$D:$D,MATCH($B136,'Controller Prices'!$B:$B,0))=""),"",INDEX('Controller Prices'!$D:$D,MATCH($B136,'Controller Prices'!$B:$B,0))-$D136)</f>
        <v/>
      </c>
      <c r="F136" s="3" t="n">
        <f aca="false">IF(OR($D136="",INDEX('Controller Prices'!$E:$E,MATCH($B136,'Controller Prices'!$B:$B,0))=""),"",INDEX('Controller Prices'!$E:$E,MATCH($B136,'Controller Prices'!$B:$B,0))-$D136)</f>
        <v>2150</v>
      </c>
      <c r="G136" s="3" t="n">
        <v>9450</v>
      </c>
      <c r="H136" s="3" t="str">
        <f aca="false">IF(OR($C136="KilnStar",$G136="",INDEX('Controller Prices'!$H:$H,MATCH($B136,'Controller Prices'!$B:$B,0))=""),"",INDEX('Controller Prices'!$H:$H,MATCH($B136,'Controller Prices'!$B:$B,0))-$G136)</f>
        <v/>
      </c>
      <c r="I136" s="3" t="n">
        <f aca="false">IF(OR($G136="",INDEX('Controller Prices'!$I:$I,MATCH($B136,'Controller Prices'!$B:$B,0))=""),"",INDEX('Controller Prices'!$I:$I,MATCH($B136,'Controller Prices'!$B:$B,0))-$G136)</f>
        <v>1505</v>
      </c>
    </row>
    <row r="137" customFormat="false" ht="15" hidden="false" customHeight="false" outlineLevel="0" collapsed="false">
      <c r="A137" s="2" t="s">
        <v>154</v>
      </c>
      <c r="B137" s="2" t="s">
        <v>163</v>
      </c>
      <c r="C137" s="2" t="s">
        <v>15</v>
      </c>
      <c r="D137" s="3" t="n">
        <v>11500</v>
      </c>
      <c r="E137" s="3" t="str">
        <f aca="false">IF(OR($C137="KilnStar",$D137="",INDEX('Controller Prices'!$D:$D,MATCH($B137,'Controller Prices'!$B:$B,0))=""),"",INDEX('Controller Prices'!$D:$D,MATCH($B137,'Controller Prices'!$B:$B,0))-$D137)</f>
        <v/>
      </c>
      <c r="F137" s="3" t="n">
        <f aca="false">IF(OR($D137="",INDEX('Controller Prices'!$E:$E,MATCH($B137,'Controller Prices'!$B:$B,0))=""),"",INDEX('Controller Prices'!$E:$E,MATCH($B137,'Controller Prices'!$B:$B,0))-$D137)</f>
        <v>150</v>
      </c>
      <c r="G137" s="3" t="n">
        <v>8050</v>
      </c>
      <c r="H137" s="3" t="str">
        <f aca="false">IF(OR($C137="KilnStar",$G137="",INDEX('Controller Prices'!$H:$H,MATCH($B137,'Controller Prices'!$B:$B,0))=""),"",INDEX('Controller Prices'!$H:$H,MATCH($B137,'Controller Prices'!$B:$B,0))-$G137)</f>
        <v/>
      </c>
      <c r="I137" s="3" t="n">
        <f aca="false">IF(OR($G137="",INDEX('Controller Prices'!$I:$I,MATCH($B137,'Controller Prices'!$B:$B,0))=""),"",INDEX('Controller Prices'!$I:$I,MATCH($B137,'Controller Prices'!$B:$B,0))-$G137)</f>
        <v>105</v>
      </c>
    </row>
    <row r="138" customFormat="false" ht="15" hidden="false" customHeight="false" outlineLevel="0" collapsed="false">
      <c r="A138" s="2" t="s">
        <v>154</v>
      </c>
      <c r="B138" s="2" t="s">
        <v>164</v>
      </c>
      <c r="C138" s="2" t="s">
        <v>15</v>
      </c>
      <c r="D138" s="3" t="n">
        <v>12700</v>
      </c>
      <c r="E138" s="3" t="str">
        <f aca="false">IF(OR($C138="KilnStar",$D138="",INDEX('Controller Prices'!$D:$D,MATCH($B138,'Controller Prices'!$B:$B,0))=""),"",INDEX('Controller Prices'!$D:$D,MATCH($B138,'Controller Prices'!$B:$B,0))-$D138)</f>
        <v/>
      </c>
      <c r="F138" s="3" t="n">
        <f aca="false">IF(OR($D138="",INDEX('Controller Prices'!$E:$E,MATCH($B138,'Controller Prices'!$B:$B,0))=""),"",INDEX('Controller Prices'!$E:$E,MATCH($B138,'Controller Prices'!$B:$B,0))-$D138)</f>
        <v>150</v>
      </c>
      <c r="G138" s="3" t="n">
        <v>8890</v>
      </c>
      <c r="H138" s="3" t="str">
        <f aca="false">IF(OR($C138="KilnStar",$G138="",INDEX('Controller Prices'!$H:$H,MATCH($B138,'Controller Prices'!$B:$B,0))=""),"",INDEX('Controller Prices'!$H:$H,MATCH($B138,'Controller Prices'!$B:$B,0))-$G138)</f>
        <v/>
      </c>
      <c r="I138" s="3" t="n">
        <f aca="false">IF(OR($G138="",INDEX('Controller Prices'!$I:$I,MATCH($B138,'Controller Prices'!$B:$B,0))=""),"",INDEX('Controller Prices'!$I:$I,MATCH($B138,'Controller Prices'!$B:$B,0))-$G138)</f>
        <v>105</v>
      </c>
    </row>
    <row r="139" customFormat="false" ht="15" hidden="false" customHeight="false" outlineLevel="0" collapsed="false">
      <c r="A139" s="2" t="s">
        <v>154</v>
      </c>
      <c r="B139" s="2" t="s">
        <v>165</v>
      </c>
      <c r="C139" s="2" t="s">
        <v>15</v>
      </c>
      <c r="D139" s="3" t="n">
        <v>13900</v>
      </c>
      <c r="E139" s="3" t="str">
        <f aca="false">IF(OR($C139="KilnStar",$D139="",INDEX('Controller Prices'!$D:$D,MATCH($B139,'Controller Prices'!$B:$B,0))=""),"",INDEX('Controller Prices'!$D:$D,MATCH($B139,'Controller Prices'!$B:$B,0))-$D139)</f>
        <v/>
      </c>
      <c r="F139" s="3" t="n">
        <f aca="false">IF(OR($D139="",INDEX('Controller Prices'!$E:$E,MATCH($B139,'Controller Prices'!$B:$B,0))=""),"",INDEX('Controller Prices'!$E:$E,MATCH($B139,'Controller Prices'!$B:$B,0))-$D139)</f>
        <v>150</v>
      </c>
      <c r="G139" s="3" t="n">
        <v>9730</v>
      </c>
      <c r="H139" s="3" t="str">
        <f aca="false">IF(OR($C139="KilnStar",$G139="",INDEX('Controller Prices'!$H:$H,MATCH($B139,'Controller Prices'!$B:$B,0))=""),"",INDEX('Controller Prices'!$H:$H,MATCH($B139,'Controller Prices'!$B:$B,0))-$G139)</f>
        <v/>
      </c>
      <c r="I139" s="3" t="n">
        <f aca="false">IF(OR($G139="",INDEX('Controller Prices'!$I:$I,MATCH($B139,'Controller Prices'!$B:$B,0))=""),"",INDEX('Controller Prices'!$I:$I,MATCH($B139,'Controller Prices'!$B:$B,0))-$G139)</f>
        <v>105</v>
      </c>
    </row>
    <row r="140" customFormat="false" ht="15" hidden="false" customHeight="false" outlineLevel="0" collapsed="false">
      <c r="A140" s="2" t="s">
        <v>154</v>
      </c>
      <c r="B140" s="2" t="s">
        <v>166</v>
      </c>
      <c r="C140" s="2" t="s">
        <v>15</v>
      </c>
      <c r="D140" s="3" t="n">
        <v>11300</v>
      </c>
      <c r="E140" s="3" t="str">
        <f aca="false">IF(OR($C140="KilnStar",$D140="",INDEX('Controller Prices'!$D:$D,MATCH($B140,'Controller Prices'!$B:$B,0))=""),"",INDEX('Controller Prices'!$D:$D,MATCH($B140,'Controller Prices'!$B:$B,0))-$D140)</f>
        <v/>
      </c>
      <c r="F140" s="3" t="n">
        <f aca="false">IF(OR($D140="",INDEX('Controller Prices'!$E:$E,MATCH($B140,'Controller Prices'!$B:$B,0))=""),"",INDEX('Controller Prices'!$E:$E,MATCH($B140,'Controller Prices'!$B:$B,0))-$D140)</f>
        <v>150</v>
      </c>
      <c r="G140" s="3" t="n">
        <v>7910</v>
      </c>
      <c r="H140" s="3" t="str">
        <f aca="false">IF(OR($C140="KilnStar",$G140="",INDEX('Controller Prices'!$H:$H,MATCH($B140,'Controller Prices'!$B:$B,0))=""),"",INDEX('Controller Prices'!$H:$H,MATCH($B140,'Controller Prices'!$B:$B,0))-$G140)</f>
        <v/>
      </c>
      <c r="I140" s="3" t="n">
        <f aca="false">IF(OR($G140="",INDEX('Controller Prices'!$I:$I,MATCH($B140,'Controller Prices'!$B:$B,0))=""),"",INDEX('Controller Prices'!$I:$I,MATCH($B140,'Controller Prices'!$B:$B,0))-$G140)</f>
        <v>105</v>
      </c>
    </row>
    <row r="141" customFormat="false" ht="15" hidden="false" customHeight="false" outlineLevel="0" collapsed="false">
      <c r="A141" s="2" t="s">
        <v>154</v>
      </c>
      <c r="B141" s="2" t="s">
        <v>167</v>
      </c>
      <c r="C141" s="2" t="s">
        <v>15</v>
      </c>
      <c r="D141" s="3" t="n">
        <v>13800</v>
      </c>
      <c r="E141" s="3" t="str">
        <f aca="false">IF(OR($C141="KilnStar",$D141="",INDEX('Controller Prices'!$D:$D,MATCH($B141,'Controller Prices'!$B:$B,0))=""),"",INDEX('Controller Prices'!$D:$D,MATCH($B141,'Controller Prices'!$B:$B,0))-$D141)</f>
        <v/>
      </c>
      <c r="F141" s="3" t="n">
        <f aca="false">IF(OR($D141="",INDEX('Controller Prices'!$E:$E,MATCH($B141,'Controller Prices'!$B:$B,0))=""),"",INDEX('Controller Prices'!$E:$E,MATCH($B141,'Controller Prices'!$B:$B,0))-$D141)</f>
        <v>150</v>
      </c>
      <c r="G141" s="3" t="n">
        <v>9660</v>
      </c>
      <c r="H141" s="3" t="str">
        <f aca="false">IF(OR($C141="KilnStar",$G141="",INDEX('Controller Prices'!$H:$H,MATCH($B141,'Controller Prices'!$B:$B,0))=""),"",INDEX('Controller Prices'!$H:$H,MATCH($B141,'Controller Prices'!$B:$B,0))-$G141)</f>
        <v/>
      </c>
      <c r="I141" s="3" t="n">
        <f aca="false">IF(OR($G141="",INDEX('Controller Prices'!$I:$I,MATCH($B141,'Controller Prices'!$B:$B,0))=""),"",INDEX('Controller Prices'!$I:$I,MATCH($B141,'Controller Prices'!$B:$B,0))-$G141)</f>
        <v>105</v>
      </c>
    </row>
    <row r="142" customFormat="false" ht="15" hidden="false" customHeight="false" outlineLevel="0" collapsed="false">
      <c r="A142" s="2" t="s">
        <v>154</v>
      </c>
      <c r="B142" s="2" t="s">
        <v>168</v>
      </c>
      <c r="C142" s="2" t="s">
        <v>15</v>
      </c>
      <c r="D142" s="3" t="n">
        <v>12000</v>
      </c>
      <c r="E142" s="3" t="str">
        <f aca="false">IF(OR($C142="KilnStar",$D142="",INDEX('Controller Prices'!$D:$D,MATCH($B142,'Controller Prices'!$B:$B,0))=""),"",INDEX('Controller Prices'!$D:$D,MATCH($B142,'Controller Prices'!$B:$B,0))-$D142)</f>
        <v/>
      </c>
      <c r="F142" s="3" t="n">
        <f aca="false">IF(OR($D142="",INDEX('Controller Prices'!$E:$E,MATCH($B142,'Controller Prices'!$B:$B,0))=""),"",INDEX('Controller Prices'!$E:$E,MATCH($B142,'Controller Prices'!$B:$B,0))-$D142)</f>
        <v>150</v>
      </c>
      <c r="G142" s="2"/>
      <c r="H142" s="3" t="str">
        <f aca="false">IF(OR($C142="KilnStar",$G142="",INDEX('Controller Prices'!$H:$H,MATCH($B142,'Controller Prices'!$B:$B,0))=""),"",INDEX('Controller Prices'!$H:$H,MATCH($B142,'Controller Prices'!$B:$B,0))-$G142)</f>
        <v/>
      </c>
      <c r="I142" s="3" t="str">
        <f aca="false">IF(OR($G142="",INDEX('Controller Prices'!$I:$I,MATCH($B142,'Controller Prices'!$B:$B,0))=""),"",INDEX('Controller Prices'!$I:$I,MATCH($B142,'Controller Prices'!$B:$B,0))-$G142)</f>
        <v/>
      </c>
    </row>
    <row r="143" customFormat="false" ht="15" hidden="false" customHeight="false" outlineLevel="0" collapsed="false">
      <c r="A143" s="2" t="s">
        <v>154</v>
      </c>
      <c r="B143" s="2" t="s">
        <v>169</v>
      </c>
      <c r="C143" s="2" t="s">
        <v>15</v>
      </c>
      <c r="D143" s="3" t="n">
        <v>13500</v>
      </c>
      <c r="E143" s="3" t="str">
        <f aca="false">IF(OR($C143="KilnStar",$D143="",INDEX('Controller Prices'!$D:$D,MATCH($B143,'Controller Prices'!$B:$B,0))=""),"",INDEX('Controller Prices'!$D:$D,MATCH($B143,'Controller Prices'!$B:$B,0))-$D143)</f>
        <v/>
      </c>
      <c r="F143" s="3" t="n">
        <f aca="false">IF(OR($D143="",INDEX('Controller Prices'!$E:$E,MATCH($B143,'Controller Prices'!$B:$B,0))=""),"",INDEX('Controller Prices'!$E:$E,MATCH($B143,'Controller Prices'!$B:$B,0))-$D143)</f>
        <v>150</v>
      </c>
      <c r="G143" s="3" t="n">
        <v>9450</v>
      </c>
      <c r="H143" s="3" t="str">
        <f aca="false">IF(OR($C143="KilnStar",$G143="",INDEX('Controller Prices'!$H:$H,MATCH($B143,'Controller Prices'!$B:$B,0))=""),"",INDEX('Controller Prices'!$H:$H,MATCH($B143,'Controller Prices'!$B:$B,0))-$G143)</f>
        <v/>
      </c>
      <c r="I143" s="3" t="n">
        <f aca="false">IF(OR($G143="",INDEX('Controller Prices'!$I:$I,MATCH($B143,'Controller Prices'!$B:$B,0))=""),"",INDEX('Controller Prices'!$I:$I,MATCH($B143,'Controller Prices'!$B:$B,0))-$G143)</f>
        <v>105</v>
      </c>
    </row>
    <row r="144" customFormat="false" ht="15" hidden="false" customHeight="false" outlineLevel="0" collapsed="false">
      <c r="A144" s="2" t="s">
        <v>154</v>
      </c>
      <c r="B144" s="2" t="s">
        <v>170</v>
      </c>
      <c r="C144" s="2" t="s">
        <v>15</v>
      </c>
      <c r="D144" s="3" t="n">
        <v>15650</v>
      </c>
      <c r="E144" s="3" t="str">
        <f aca="false">IF(OR($C144="KilnStar",$D144="",INDEX('Controller Prices'!$D:$D,MATCH($B144,'Controller Prices'!$B:$B,0))=""),"",INDEX('Controller Prices'!$D:$D,MATCH($B144,'Controller Prices'!$B:$B,0))-$D144)</f>
        <v/>
      </c>
      <c r="F144" s="3" t="n">
        <f aca="false">IF(OR($D144="",INDEX('Controller Prices'!$E:$E,MATCH($B144,'Controller Prices'!$B:$B,0))=""),"",INDEX('Controller Prices'!$E:$E,MATCH($B144,'Controller Prices'!$B:$B,0))-$D144)</f>
        <v>150</v>
      </c>
      <c r="G144" s="3" t="n">
        <v>10955</v>
      </c>
      <c r="H144" s="3" t="str">
        <f aca="false">IF(OR($C144="KilnStar",$G144="",INDEX('Controller Prices'!$H:$H,MATCH($B144,'Controller Prices'!$B:$B,0))=""),"",INDEX('Controller Prices'!$H:$H,MATCH($B144,'Controller Prices'!$B:$B,0))-$G144)</f>
        <v/>
      </c>
      <c r="I144" s="3" t="n">
        <f aca="false">IF(OR($G144="",INDEX('Controller Prices'!$I:$I,MATCH($B144,'Controller Prices'!$B:$B,0))=""),"",INDEX('Controller Prices'!$I:$I,MATCH($B144,'Controller Prices'!$B:$B,0))-$G144)</f>
        <v>105</v>
      </c>
    </row>
    <row r="145" customFormat="false" ht="15" hidden="false" customHeight="false" outlineLevel="0" collapsed="false">
      <c r="A145" s="2" t="s">
        <v>154</v>
      </c>
      <c r="B145" s="2" t="s">
        <v>171</v>
      </c>
      <c r="C145" s="2" t="s">
        <v>15</v>
      </c>
      <c r="D145" s="3" t="n">
        <v>12850</v>
      </c>
      <c r="E145" s="3" t="str">
        <f aca="false">IF(OR($C145="KilnStar",$D145="",INDEX('Controller Prices'!$D:$D,MATCH($B145,'Controller Prices'!$B:$B,0))=""),"",INDEX('Controller Prices'!$D:$D,MATCH($B145,'Controller Prices'!$B:$B,0))-$D145)</f>
        <v/>
      </c>
      <c r="F145" s="3" t="n">
        <f aca="false">IF(OR($D145="",INDEX('Controller Prices'!$E:$E,MATCH($B145,'Controller Prices'!$B:$B,0))=""),"",INDEX('Controller Prices'!$E:$E,MATCH($B145,'Controller Prices'!$B:$B,0))-$D145)</f>
        <v>150</v>
      </c>
      <c r="G145" s="3" t="n">
        <v>8995</v>
      </c>
      <c r="H145" s="3" t="str">
        <f aca="false">IF(OR($C145="KilnStar",$G145="",INDEX('Controller Prices'!$H:$H,MATCH($B145,'Controller Prices'!$B:$B,0))=""),"",INDEX('Controller Prices'!$H:$H,MATCH($B145,'Controller Prices'!$B:$B,0))-$G145)</f>
        <v/>
      </c>
      <c r="I145" s="3" t="n">
        <f aca="false">IF(OR($G145="",INDEX('Controller Prices'!$I:$I,MATCH($B145,'Controller Prices'!$B:$B,0))=""),"",INDEX('Controller Prices'!$I:$I,MATCH($B145,'Controller Prices'!$B:$B,0))-$G145)</f>
        <v>105</v>
      </c>
    </row>
    <row r="146" customFormat="false" ht="15" hidden="false" customHeight="false" outlineLevel="0" collapsed="false">
      <c r="A146" s="2" t="s">
        <v>154</v>
      </c>
      <c r="B146" s="2" t="s">
        <v>172</v>
      </c>
      <c r="C146" s="2" t="s">
        <v>15</v>
      </c>
      <c r="D146" s="3" t="n">
        <v>14500</v>
      </c>
      <c r="E146" s="3" t="str">
        <f aca="false">IF(OR($C146="KilnStar",$D146="",INDEX('Controller Prices'!$D:$D,MATCH($B146,'Controller Prices'!$B:$B,0))=""),"",INDEX('Controller Prices'!$D:$D,MATCH($B146,'Controller Prices'!$B:$B,0))-$D146)</f>
        <v/>
      </c>
      <c r="F146" s="3" t="n">
        <f aca="false">IF(OR($D146="",INDEX('Controller Prices'!$E:$E,MATCH($B146,'Controller Prices'!$B:$B,0))=""),"",INDEX('Controller Prices'!$E:$E,MATCH($B146,'Controller Prices'!$B:$B,0))-$D146)</f>
        <v>110</v>
      </c>
      <c r="G146" s="3" t="n">
        <v>10150</v>
      </c>
      <c r="H146" s="3" t="str">
        <f aca="false">IF(OR($C146="KilnStar",$G146="",INDEX('Controller Prices'!$H:$H,MATCH($B146,'Controller Prices'!$B:$B,0))=""),"",INDEX('Controller Prices'!$H:$H,MATCH($B146,'Controller Prices'!$B:$B,0))-$G146)</f>
        <v/>
      </c>
      <c r="I146" s="3" t="n">
        <f aca="false">IF(OR($G146="",INDEX('Controller Prices'!$I:$I,MATCH($B146,'Controller Prices'!$B:$B,0))=""),"",INDEX('Controller Prices'!$I:$I,MATCH($B146,'Controller Prices'!$B:$B,0))-$G146)</f>
        <v>77</v>
      </c>
    </row>
    <row r="147" customFormat="false" ht="15" hidden="false" customHeight="false" outlineLevel="0" collapsed="false">
      <c r="A147" s="2" t="s">
        <v>154</v>
      </c>
      <c r="B147" s="2" t="s">
        <v>173</v>
      </c>
      <c r="C147" s="2" t="s">
        <v>15</v>
      </c>
      <c r="D147" s="3" t="n">
        <v>14650</v>
      </c>
      <c r="E147" s="3" t="str">
        <f aca="false">IF(OR($C147="KilnStar",$D147="",INDEX('Controller Prices'!$D:$D,MATCH($B147,'Controller Prices'!$B:$B,0))=""),"",INDEX('Controller Prices'!$D:$D,MATCH($B147,'Controller Prices'!$B:$B,0))-$D147)</f>
        <v/>
      </c>
      <c r="F147" s="3" t="n">
        <f aca="false">IF(OR($D147="",INDEX('Controller Prices'!$E:$E,MATCH($B147,'Controller Prices'!$B:$B,0))=""),"",INDEX('Controller Prices'!$E:$E,MATCH($B147,'Controller Prices'!$B:$B,0))-$D147)</f>
        <v>110</v>
      </c>
      <c r="G147" s="3" t="n">
        <v>10255</v>
      </c>
      <c r="H147" s="3" t="str">
        <f aca="false">IF(OR($C147="KilnStar",$G147="",INDEX('Controller Prices'!$H:$H,MATCH($B147,'Controller Prices'!$B:$B,0))=""),"",INDEX('Controller Prices'!$H:$H,MATCH($B147,'Controller Prices'!$B:$B,0))-$G147)</f>
        <v/>
      </c>
      <c r="I147" s="3" t="n">
        <f aca="false">IF(OR($G147="",INDEX('Controller Prices'!$I:$I,MATCH($B147,'Controller Prices'!$B:$B,0))=""),"",INDEX('Controller Prices'!$I:$I,MATCH($B147,'Controller Prices'!$B:$B,0))-$G147)</f>
        <v>77</v>
      </c>
    </row>
    <row r="148" customFormat="false" ht="15" hidden="false" customHeight="false" outlineLevel="0" collapsed="false">
      <c r="A148" s="2" t="s">
        <v>154</v>
      </c>
      <c r="B148" s="2" t="s">
        <v>174</v>
      </c>
      <c r="C148" s="2" t="s">
        <v>15</v>
      </c>
      <c r="D148" s="3" t="n">
        <v>13675</v>
      </c>
      <c r="E148" s="3" t="str">
        <f aca="false">IF(OR($C148="KilnStar",$D148="",INDEX('Controller Prices'!$D:$D,MATCH($B148,'Controller Prices'!$B:$B,0))=""),"",INDEX('Controller Prices'!$D:$D,MATCH($B148,'Controller Prices'!$B:$B,0))-$D148)</f>
        <v/>
      </c>
      <c r="F148" s="3" t="n">
        <f aca="false">IF(OR($D148="",INDEX('Controller Prices'!$E:$E,MATCH($B148,'Controller Prices'!$B:$B,0))=""),"",INDEX('Controller Prices'!$E:$E,MATCH($B148,'Controller Prices'!$B:$B,0))-$D148)</f>
        <v>150</v>
      </c>
      <c r="G148" s="3" t="n">
        <v>9572.5</v>
      </c>
      <c r="H148" s="3" t="str">
        <f aca="false">IF(OR($C148="KilnStar",$G148="",INDEX('Controller Prices'!$H:$H,MATCH($B148,'Controller Prices'!$B:$B,0))=""),"",INDEX('Controller Prices'!$H:$H,MATCH($B148,'Controller Prices'!$B:$B,0))-$G148)</f>
        <v/>
      </c>
      <c r="I148" s="3" t="n">
        <f aca="false">IF(OR($G148="",INDEX('Controller Prices'!$I:$I,MATCH($B148,'Controller Prices'!$B:$B,0))=""),"",INDEX('Controller Prices'!$I:$I,MATCH($B148,'Controller Prices'!$B:$B,0))-$G148)</f>
        <v>105</v>
      </c>
    </row>
    <row r="149" customFormat="false" ht="15" hidden="false" customHeight="false" outlineLevel="0" collapsed="false">
      <c r="A149" s="2" t="s">
        <v>154</v>
      </c>
      <c r="B149" s="2" t="s">
        <v>175</v>
      </c>
      <c r="C149" s="2" t="s">
        <v>15</v>
      </c>
      <c r="D149" s="3" t="n">
        <v>17050</v>
      </c>
      <c r="E149" s="3" t="str">
        <f aca="false">IF(OR($C149="KilnStar",$D149="",INDEX('Controller Prices'!$D:$D,MATCH($B149,'Controller Prices'!$B:$B,0))=""),"",INDEX('Controller Prices'!$D:$D,MATCH($B149,'Controller Prices'!$B:$B,0))-$D149)</f>
        <v/>
      </c>
      <c r="F149" s="3" t="n">
        <f aca="false">IF(OR($D149="",INDEX('Controller Prices'!$E:$E,MATCH($B149,'Controller Prices'!$B:$B,0))=""),"",INDEX('Controller Prices'!$E:$E,MATCH($B149,'Controller Prices'!$B:$B,0))-$D149)</f>
        <v>250</v>
      </c>
      <c r="G149" s="3" t="n">
        <v>11935</v>
      </c>
      <c r="H149" s="3" t="str">
        <f aca="false">IF(OR($C149="KilnStar",$G149="",INDEX('Controller Prices'!$H:$H,MATCH($B149,'Controller Prices'!$B:$B,0))=""),"",INDEX('Controller Prices'!$H:$H,MATCH($B149,'Controller Prices'!$B:$B,0))-$G149)</f>
        <v/>
      </c>
      <c r="I149" s="3" t="n">
        <f aca="false">IF(OR($G149="",INDEX('Controller Prices'!$I:$I,MATCH($B149,'Controller Prices'!$B:$B,0))=""),"",INDEX('Controller Prices'!$I:$I,MATCH($B149,'Controller Prices'!$B:$B,0))-$G149)</f>
        <v>175</v>
      </c>
    </row>
    <row r="150" customFormat="false" ht="15" hidden="false" customHeight="false" outlineLevel="0" collapsed="false">
      <c r="A150" s="2" t="s">
        <v>154</v>
      </c>
      <c r="B150" s="2" t="s">
        <v>176</v>
      </c>
      <c r="C150" s="2" t="s">
        <v>15</v>
      </c>
      <c r="D150" s="3" t="n">
        <v>13550</v>
      </c>
      <c r="E150" s="3" t="str">
        <f aca="false">IF(OR($C150="KilnStar",$D150="",INDEX('Controller Prices'!$D:$D,MATCH($B150,'Controller Prices'!$B:$B,0))=""),"",INDEX('Controller Prices'!$D:$D,MATCH($B150,'Controller Prices'!$B:$B,0))-$D150)</f>
        <v/>
      </c>
      <c r="F150" s="3" t="n">
        <f aca="false">IF(OR($D150="",INDEX('Controller Prices'!$E:$E,MATCH($B150,'Controller Prices'!$B:$B,0))=""),"",INDEX('Controller Prices'!$E:$E,MATCH($B150,'Controller Prices'!$B:$B,0))-$D150)</f>
        <v>150</v>
      </c>
      <c r="G150" s="3" t="n">
        <v>9485</v>
      </c>
      <c r="H150" s="3" t="str">
        <f aca="false">IF(OR($C150="KilnStar",$G150="",INDEX('Controller Prices'!$H:$H,MATCH($B150,'Controller Prices'!$B:$B,0))=""),"",INDEX('Controller Prices'!$H:$H,MATCH($B150,'Controller Prices'!$B:$B,0))-$G150)</f>
        <v/>
      </c>
      <c r="I150" s="3" t="n">
        <f aca="false">IF(OR($G150="",INDEX('Controller Prices'!$I:$I,MATCH($B150,'Controller Prices'!$B:$B,0))=""),"",INDEX('Controller Prices'!$I:$I,MATCH($B150,'Controller Prices'!$B:$B,0))-$G150)</f>
        <v>2450</v>
      </c>
    </row>
    <row r="151" customFormat="false" ht="15" hidden="false" customHeight="false" outlineLevel="0" collapsed="false">
      <c r="A151" s="2" t="s">
        <v>154</v>
      </c>
      <c r="B151" s="2" t="s">
        <v>177</v>
      </c>
      <c r="C151" s="2" t="s">
        <v>15</v>
      </c>
      <c r="D151" s="3" t="n">
        <v>14800</v>
      </c>
      <c r="E151" s="3" t="str">
        <f aca="false">IF(OR($C151="KilnStar",$D151="",INDEX('Controller Prices'!$D:$D,MATCH($B151,'Controller Prices'!$B:$B,0))=""),"",INDEX('Controller Prices'!$D:$D,MATCH($B151,'Controller Prices'!$B:$B,0))-$D151)</f>
        <v/>
      </c>
      <c r="F151" s="3" t="n">
        <f aca="false">IF(OR($D151="",INDEX('Controller Prices'!$E:$E,MATCH($B151,'Controller Prices'!$B:$B,0))=""),"",INDEX('Controller Prices'!$E:$E,MATCH($B151,'Controller Prices'!$B:$B,0))-$D151)</f>
        <v>150</v>
      </c>
      <c r="G151" s="3" t="n">
        <v>9485</v>
      </c>
      <c r="H151" s="3" t="str">
        <f aca="false">IF(OR($C151="KilnStar",$G151="",INDEX('Controller Prices'!$H:$H,MATCH($B151,'Controller Prices'!$B:$B,0))=""),"",INDEX('Controller Prices'!$H:$H,MATCH($B151,'Controller Prices'!$B:$B,0))-$G151)</f>
        <v/>
      </c>
      <c r="I151" s="3" t="n">
        <f aca="false">IF(OR($G151="",INDEX('Controller Prices'!$I:$I,MATCH($B151,'Controller Prices'!$B:$B,0))=""),"",INDEX('Controller Prices'!$I:$I,MATCH($B151,'Controller Prices'!$B:$B,0))-$G151)</f>
        <v>16065</v>
      </c>
    </row>
    <row r="152" customFormat="false" ht="15" hidden="false" customHeight="false" outlineLevel="0" collapsed="false">
      <c r="A152" s="2" t="s">
        <v>154</v>
      </c>
      <c r="B152" s="2" t="s">
        <v>178</v>
      </c>
      <c r="C152" s="2" t="s">
        <v>15</v>
      </c>
      <c r="D152" s="3" t="n">
        <v>16900</v>
      </c>
      <c r="E152" s="3" t="str">
        <f aca="false">IF(OR($C152="KilnStar",$D152="",INDEX('Controller Prices'!$D:$D,MATCH($B152,'Controller Prices'!$B:$B,0))=""),"",INDEX('Controller Prices'!$D:$D,MATCH($B152,'Controller Prices'!$B:$B,0))-$D152)</f>
        <v/>
      </c>
      <c r="F152" s="3" t="n">
        <f aca="false">IF(OR($D152="",INDEX('Controller Prices'!$E:$E,MATCH($B152,'Controller Prices'!$B:$B,0))=""),"",INDEX('Controller Prices'!$E:$E,MATCH($B152,'Controller Prices'!$B:$B,0))-$D152)</f>
        <v>150</v>
      </c>
      <c r="G152" s="3" t="n">
        <v>11830</v>
      </c>
      <c r="H152" s="3" t="str">
        <f aca="false">IF(OR($C152="KilnStar",$G152="",INDEX('Controller Prices'!$H:$H,MATCH($B152,'Controller Prices'!$B:$B,0))=""),"",INDEX('Controller Prices'!$H:$H,MATCH($B152,'Controller Prices'!$B:$B,0))-$G152)</f>
        <v/>
      </c>
      <c r="I152" s="3" t="n">
        <f aca="false">IF(OR($G152="",INDEX('Controller Prices'!$I:$I,MATCH($B152,'Controller Prices'!$B:$B,0))=""),"",INDEX('Controller Prices'!$I:$I,MATCH($B152,'Controller Prices'!$B:$B,0))-$G152)</f>
        <v>105</v>
      </c>
    </row>
    <row r="153" customFormat="false" ht="15" hidden="false" customHeight="false" outlineLevel="0" collapsed="false">
      <c r="A153" s="2" t="s">
        <v>154</v>
      </c>
      <c r="B153" s="2" t="s">
        <v>179</v>
      </c>
      <c r="C153" s="2" t="s">
        <v>15</v>
      </c>
      <c r="D153" s="3" t="n">
        <v>15625</v>
      </c>
      <c r="E153" s="3" t="str">
        <f aca="false">IF(OR($C153="KilnStar",$D153="",INDEX('Controller Prices'!$D:$D,MATCH($B153,'Controller Prices'!$B:$B,0))=""),"",INDEX('Controller Prices'!$D:$D,MATCH($B153,'Controller Prices'!$B:$B,0))-$D153)</f>
        <v/>
      </c>
      <c r="F153" s="3" t="n">
        <f aca="false">IF(OR($D153="",INDEX('Controller Prices'!$E:$E,MATCH($B153,'Controller Prices'!$B:$B,0))=""),"",INDEX('Controller Prices'!$E:$E,MATCH($B153,'Controller Prices'!$B:$B,0))-$D153)</f>
        <v>125</v>
      </c>
      <c r="G153" s="3" t="n">
        <v>10937.5</v>
      </c>
      <c r="H153" s="3" t="str">
        <f aca="false">IF(OR($C153="KilnStar",$G153="",INDEX('Controller Prices'!$H:$H,MATCH($B153,'Controller Prices'!$B:$B,0))=""),"",INDEX('Controller Prices'!$H:$H,MATCH($B153,'Controller Prices'!$B:$B,0))-$G153)</f>
        <v/>
      </c>
      <c r="I153" s="3" t="n">
        <f aca="false">IF(OR($G153="",INDEX('Controller Prices'!$I:$I,MATCH($B153,'Controller Prices'!$B:$B,0))=""),"",INDEX('Controller Prices'!$I:$I,MATCH($B153,'Controller Prices'!$B:$B,0))-$G153)</f>
        <v>87.5</v>
      </c>
    </row>
    <row r="154" customFormat="false" ht="15" hidden="false" customHeight="false" outlineLevel="0" collapsed="false">
      <c r="A154" s="2" t="s">
        <v>154</v>
      </c>
      <c r="B154" s="2" t="s">
        <v>180</v>
      </c>
      <c r="C154" s="2" t="s">
        <v>15</v>
      </c>
      <c r="D154" s="3" t="n">
        <v>19500</v>
      </c>
      <c r="E154" s="3" t="str">
        <f aca="false">IF(OR($C154="KilnStar",$D154="",INDEX('Controller Prices'!$D:$D,MATCH($B154,'Controller Prices'!$B:$B,0))=""),"",INDEX('Controller Prices'!$D:$D,MATCH($B154,'Controller Prices'!$B:$B,0))-$D154)</f>
        <v/>
      </c>
      <c r="F154" s="3" t="n">
        <f aca="false">IF(OR($D154="",INDEX('Controller Prices'!$E:$E,MATCH($B154,'Controller Prices'!$B:$B,0))=""),"",INDEX('Controller Prices'!$E:$E,MATCH($B154,'Controller Prices'!$B:$B,0))-$D154)</f>
        <v>150</v>
      </c>
      <c r="G154" s="3" t="n">
        <v>13650</v>
      </c>
      <c r="H154" s="3" t="str">
        <f aca="false">IF(OR($C154="KilnStar",$G154="",INDEX('Controller Prices'!$H:$H,MATCH($B154,'Controller Prices'!$B:$B,0))=""),"",INDEX('Controller Prices'!$H:$H,MATCH($B154,'Controller Prices'!$B:$B,0))-$G154)</f>
        <v/>
      </c>
      <c r="I154" s="3" t="n">
        <f aca="false">IF(OR($G154="",INDEX('Controller Prices'!$I:$I,MATCH($B154,'Controller Prices'!$B:$B,0))=""),"",INDEX('Controller Prices'!$I:$I,MATCH($B154,'Controller Prices'!$B:$B,0))-$G154)</f>
        <v>105</v>
      </c>
    </row>
    <row r="155" customFormat="false" ht="15" hidden="false" customHeight="false" outlineLevel="0" collapsed="false">
      <c r="A155" s="2" t="s">
        <v>154</v>
      </c>
      <c r="B155" s="2" t="s">
        <v>181</v>
      </c>
      <c r="C155" s="2" t="s">
        <v>15</v>
      </c>
      <c r="D155" s="3" t="n">
        <v>11500</v>
      </c>
      <c r="E155" s="3" t="str">
        <f aca="false">IF(OR($C155="KilnStar",$D155="",INDEX('Controller Prices'!$D:$D,MATCH($B155,'Controller Prices'!$B:$B,0))=""),"",INDEX('Controller Prices'!$D:$D,MATCH($B155,'Controller Prices'!$B:$B,0))-$D155)</f>
        <v/>
      </c>
      <c r="F155" s="3" t="n">
        <f aca="false">IF(OR($D155="",INDEX('Controller Prices'!$E:$E,MATCH($B155,'Controller Prices'!$B:$B,0))=""),"",INDEX('Controller Prices'!$E:$E,MATCH($B155,'Controller Prices'!$B:$B,0))-$D155)</f>
        <v>150</v>
      </c>
      <c r="G155" s="3" t="n">
        <v>8050</v>
      </c>
      <c r="H155" s="3" t="str">
        <f aca="false">IF(OR($C155="KilnStar",$G155="",INDEX('Controller Prices'!$H:$H,MATCH($B155,'Controller Prices'!$B:$B,0))=""),"",INDEX('Controller Prices'!$H:$H,MATCH($B155,'Controller Prices'!$B:$B,0))-$G155)</f>
        <v/>
      </c>
      <c r="I155" s="3" t="n">
        <f aca="false">IF(OR($G155="",INDEX('Controller Prices'!$I:$I,MATCH($B155,'Controller Prices'!$B:$B,0))=""),"",INDEX('Controller Prices'!$I:$I,MATCH($B155,'Controller Prices'!$B:$B,0))-$G155)</f>
        <v>105</v>
      </c>
    </row>
    <row r="156" customFormat="false" ht="15" hidden="false" customHeight="false" outlineLevel="0" collapsed="false">
      <c r="A156" s="2" t="s">
        <v>154</v>
      </c>
      <c r="B156" s="2" t="s">
        <v>182</v>
      </c>
      <c r="C156" s="2" t="s">
        <v>15</v>
      </c>
      <c r="D156" s="3" t="n">
        <v>18300</v>
      </c>
      <c r="E156" s="3" t="str">
        <f aca="false">IF(OR($C156="KilnStar",$D156="",INDEX('Controller Prices'!$D:$D,MATCH($B156,'Controller Prices'!$B:$B,0))=""),"",INDEX('Controller Prices'!$D:$D,MATCH($B156,'Controller Prices'!$B:$B,0))-$D156)</f>
        <v/>
      </c>
      <c r="F156" s="3" t="n">
        <f aca="false">IF(OR($D156="",INDEX('Controller Prices'!$E:$E,MATCH($B156,'Controller Prices'!$B:$B,0))=""),"",INDEX('Controller Prices'!$E:$E,MATCH($B156,'Controller Prices'!$B:$B,0))-$D156)</f>
        <v>150</v>
      </c>
      <c r="G156" s="3" t="n">
        <v>12810</v>
      </c>
      <c r="H156" s="3" t="str">
        <f aca="false">IF(OR($C156="KilnStar",$G156="",INDEX('Controller Prices'!$H:$H,MATCH($B156,'Controller Prices'!$B:$B,0))=""),"",INDEX('Controller Prices'!$H:$H,MATCH($B156,'Controller Prices'!$B:$B,0))-$G156)</f>
        <v/>
      </c>
      <c r="I156" s="3" t="n">
        <f aca="false">IF(OR($G156="",INDEX('Controller Prices'!$I:$I,MATCH($B156,'Controller Prices'!$B:$B,0))=""),"",INDEX('Controller Prices'!$I:$I,MATCH($B156,'Controller Prices'!$B:$B,0))-$G156)</f>
        <v>105</v>
      </c>
    </row>
    <row r="157" customFormat="false" ht="15" hidden="false" customHeight="false" outlineLevel="0" collapsed="false">
      <c r="A157" s="2" t="s">
        <v>154</v>
      </c>
      <c r="B157" s="2" t="s">
        <v>183</v>
      </c>
      <c r="C157" s="2" t="s">
        <v>15</v>
      </c>
      <c r="D157" s="3" t="n">
        <v>23000</v>
      </c>
      <c r="E157" s="3" t="str">
        <f aca="false">IF(OR($C157="KilnStar",$D157="",INDEX('Controller Prices'!$D:$D,MATCH($B157,'Controller Prices'!$B:$B,0))=""),"",INDEX('Controller Prices'!$D:$D,MATCH($B157,'Controller Prices'!$B:$B,0))-$D157)</f>
        <v/>
      </c>
      <c r="F157" s="3" t="n">
        <f aca="false">IF(OR($D157="",INDEX('Controller Prices'!$E:$E,MATCH($B157,'Controller Prices'!$B:$B,0))=""),"",INDEX('Controller Prices'!$E:$E,MATCH($B157,'Controller Prices'!$B:$B,0))-$D157)</f>
        <v>150</v>
      </c>
      <c r="G157" s="3" t="n">
        <v>16100</v>
      </c>
      <c r="H157" s="3" t="str">
        <f aca="false">IF(OR($C157="KilnStar",$G157="",INDEX('Controller Prices'!$H:$H,MATCH($B157,'Controller Prices'!$B:$B,0))=""),"",INDEX('Controller Prices'!$H:$H,MATCH($B157,'Controller Prices'!$B:$B,0))-$G157)</f>
        <v/>
      </c>
      <c r="I157" s="3" t="n">
        <f aca="false">IF(OR($G157="",INDEX('Controller Prices'!$I:$I,MATCH($B157,'Controller Prices'!$B:$B,0))=""),"",INDEX('Controller Prices'!$I:$I,MATCH($B157,'Controller Prices'!$B:$B,0))-$G157)</f>
        <v>105</v>
      </c>
    </row>
    <row r="158" customFormat="false" ht="15" hidden="false" customHeight="false" outlineLevel="0" collapsed="false">
      <c r="A158" s="2" t="s">
        <v>154</v>
      </c>
      <c r="B158" s="2" t="s">
        <v>184</v>
      </c>
      <c r="C158" s="2" t="s">
        <v>15</v>
      </c>
      <c r="D158" s="3" t="n">
        <v>13000</v>
      </c>
      <c r="E158" s="3" t="str">
        <f aca="false">IF(OR($C158="KilnStar",$D158="",INDEX('Controller Prices'!$D:$D,MATCH($B158,'Controller Prices'!$B:$B,0))=""),"",INDEX('Controller Prices'!$D:$D,MATCH($B158,'Controller Prices'!$B:$B,0))-$D158)</f>
        <v/>
      </c>
      <c r="F158" s="3" t="n">
        <f aca="false">IF(OR($D158="",INDEX('Controller Prices'!$E:$E,MATCH($B158,'Controller Prices'!$B:$B,0))=""),"",INDEX('Controller Prices'!$E:$E,MATCH($B158,'Controller Prices'!$B:$B,0))-$D158)</f>
        <v>150</v>
      </c>
      <c r="G158" s="3" t="n">
        <v>9100</v>
      </c>
      <c r="H158" s="3" t="str">
        <f aca="false">IF(OR($C158="KilnStar",$G158="",INDEX('Controller Prices'!$H:$H,MATCH($B158,'Controller Prices'!$B:$B,0))=""),"",INDEX('Controller Prices'!$H:$H,MATCH($B158,'Controller Prices'!$B:$B,0))-$G158)</f>
        <v/>
      </c>
      <c r="I158" s="3" t="n">
        <f aca="false">IF(OR($G158="",INDEX('Controller Prices'!$I:$I,MATCH($B158,'Controller Prices'!$B:$B,0))=""),"",INDEX('Controller Prices'!$I:$I,MATCH($B158,'Controller Prices'!$B:$B,0))-$G158)</f>
        <v>105</v>
      </c>
    </row>
    <row r="159" customFormat="false" ht="15" hidden="false" customHeight="false" outlineLevel="0" collapsed="false">
      <c r="A159" s="2" t="s">
        <v>154</v>
      </c>
      <c r="B159" s="2" t="s">
        <v>185</v>
      </c>
      <c r="C159" s="2" t="s">
        <v>15</v>
      </c>
      <c r="D159" s="3" t="n">
        <v>20500</v>
      </c>
      <c r="E159" s="3" t="str">
        <f aca="false">IF(OR($C159="KilnStar",$D159="",INDEX('Controller Prices'!$D:$D,MATCH($B159,'Controller Prices'!$B:$B,0))=""),"",INDEX('Controller Prices'!$D:$D,MATCH($B159,'Controller Prices'!$B:$B,0))-$D159)</f>
        <v/>
      </c>
      <c r="F159" s="3" t="n">
        <f aca="false">IF(OR($D159="",INDEX('Controller Prices'!$E:$E,MATCH($B159,'Controller Prices'!$B:$B,0))=""),"",INDEX('Controller Prices'!$E:$E,MATCH($B159,'Controller Prices'!$B:$B,0))-$D159)</f>
        <v>1500</v>
      </c>
      <c r="G159" s="3" t="n">
        <v>14350</v>
      </c>
      <c r="H159" s="3" t="str">
        <f aca="false">IF(OR($C159="KilnStar",$G159="",INDEX('Controller Prices'!$H:$H,MATCH($B159,'Controller Prices'!$B:$B,0))=""),"",INDEX('Controller Prices'!$H:$H,MATCH($B159,'Controller Prices'!$B:$B,0))-$G159)</f>
        <v/>
      </c>
      <c r="I159" s="3" t="n">
        <f aca="false">IF(OR($G159="",INDEX('Controller Prices'!$I:$I,MATCH($B159,'Controller Prices'!$B:$B,0))=""),"",INDEX('Controller Prices'!$I:$I,MATCH($B159,'Controller Prices'!$B:$B,0))-$G159)</f>
        <v>1050</v>
      </c>
    </row>
    <row r="160" customFormat="false" ht="15" hidden="false" customHeight="false" outlineLevel="0" collapsed="false">
      <c r="A160" s="2" t="s">
        <v>154</v>
      </c>
      <c r="B160" s="2" t="s">
        <v>186</v>
      </c>
      <c r="C160" s="2" t="s">
        <v>15</v>
      </c>
      <c r="D160" s="3" t="n">
        <v>25525</v>
      </c>
      <c r="E160" s="3" t="str">
        <f aca="false">IF(OR($C160="KilnStar",$D160="",INDEX('Controller Prices'!$D:$D,MATCH($B160,'Controller Prices'!$B:$B,0))=""),"",INDEX('Controller Prices'!$D:$D,MATCH($B160,'Controller Prices'!$B:$B,0))-$D160)</f>
        <v/>
      </c>
      <c r="F160" s="3" t="n">
        <f aca="false">IF(OR($D160="",INDEX('Controller Prices'!$E:$E,MATCH($B160,'Controller Prices'!$B:$B,0))=""),"",INDEX('Controller Prices'!$E:$E,MATCH($B160,'Controller Prices'!$B:$B,0))-$D160)</f>
        <v>150</v>
      </c>
      <c r="G160" s="3" t="n">
        <v>17867.5</v>
      </c>
      <c r="H160" s="3" t="str">
        <f aca="false">IF(OR($C160="KilnStar",$G160="",INDEX('Controller Prices'!$H:$H,MATCH($B160,'Controller Prices'!$B:$B,0))=""),"",INDEX('Controller Prices'!$H:$H,MATCH($B160,'Controller Prices'!$B:$B,0))-$G160)</f>
        <v/>
      </c>
      <c r="I160" s="3" t="n">
        <f aca="false">IF(OR($G160="",INDEX('Controller Prices'!$I:$I,MATCH($B160,'Controller Prices'!$B:$B,0))=""),"",INDEX('Controller Prices'!$I:$I,MATCH($B160,'Controller Prices'!$B:$B,0))-$G160)</f>
        <v>105</v>
      </c>
    </row>
    <row r="161" customFormat="false" ht="15" hidden="false" customHeight="false" outlineLevel="0" collapsed="false">
      <c r="A161" s="2" t="s">
        <v>154</v>
      </c>
      <c r="B161" s="2" t="s">
        <v>187</v>
      </c>
      <c r="C161" s="2" t="s">
        <v>15</v>
      </c>
      <c r="D161" s="3" t="n">
        <v>16500</v>
      </c>
      <c r="E161" s="3" t="str">
        <f aca="false">IF(OR($C161="KilnStar",$D161="",INDEX('Controller Prices'!$D:$D,MATCH($B161,'Controller Prices'!$B:$B,0))=""),"",INDEX('Controller Prices'!$D:$D,MATCH($B161,'Controller Prices'!$B:$B,0))-$D161)</f>
        <v/>
      </c>
      <c r="F161" s="3" t="n">
        <f aca="false">IF(OR($D161="",INDEX('Controller Prices'!$E:$E,MATCH($B161,'Controller Prices'!$B:$B,0))=""),"",INDEX('Controller Prices'!$E:$E,MATCH($B161,'Controller Prices'!$B:$B,0))-$D161)</f>
        <v>150</v>
      </c>
      <c r="G161" s="3" t="n">
        <v>11550</v>
      </c>
      <c r="H161" s="3" t="str">
        <f aca="false">IF(OR($C161="KilnStar",$G161="",INDEX('Controller Prices'!$H:$H,MATCH($B161,'Controller Prices'!$B:$B,0))=""),"",INDEX('Controller Prices'!$H:$H,MATCH($B161,'Controller Prices'!$B:$B,0))-$G161)</f>
        <v/>
      </c>
      <c r="I161" s="3" t="n">
        <f aca="false">IF(OR($G161="",INDEX('Controller Prices'!$I:$I,MATCH($B161,'Controller Prices'!$B:$B,0))=""),"",INDEX('Controller Prices'!$I:$I,MATCH($B161,'Controller Prices'!$B:$B,0))-$G161)</f>
        <v>105</v>
      </c>
    </row>
    <row r="162" customFormat="false" ht="15" hidden="false" customHeight="false" outlineLevel="0" collapsed="false">
      <c r="A162" s="2" t="s">
        <v>154</v>
      </c>
      <c r="B162" s="2" t="s">
        <v>188</v>
      </c>
      <c r="C162" s="2" t="s">
        <v>15</v>
      </c>
      <c r="D162" s="3" t="n">
        <v>23500</v>
      </c>
      <c r="E162" s="3" t="str">
        <f aca="false">IF(OR($C162="KilnStar",$D162="",INDEX('Controller Prices'!$D:$D,MATCH($B162,'Controller Prices'!$B:$B,0))=""),"",INDEX('Controller Prices'!$D:$D,MATCH($B162,'Controller Prices'!$B:$B,0))-$D162)</f>
        <v/>
      </c>
      <c r="F162" s="3" t="n">
        <f aca="false">IF(OR($D162="",INDEX('Controller Prices'!$E:$E,MATCH($B162,'Controller Prices'!$B:$B,0))=""),"",INDEX('Controller Prices'!$E:$E,MATCH($B162,'Controller Prices'!$B:$B,0))-$D162)</f>
        <v>150</v>
      </c>
      <c r="G162" s="3" t="n">
        <v>16450</v>
      </c>
      <c r="H162" s="3" t="str">
        <f aca="false">IF(OR($C162="KilnStar",$G162="",INDEX('Controller Prices'!$H:$H,MATCH($B162,'Controller Prices'!$B:$B,0))=""),"",INDEX('Controller Prices'!$H:$H,MATCH($B162,'Controller Prices'!$B:$B,0))-$G162)</f>
        <v/>
      </c>
      <c r="I162" s="3" t="n">
        <f aca="false">IF(OR($G162="",INDEX('Controller Prices'!$I:$I,MATCH($B162,'Controller Prices'!$B:$B,0))=""),"",INDEX('Controller Prices'!$I:$I,MATCH($B162,'Controller Prices'!$B:$B,0))-$G162)</f>
        <v>105</v>
      </c>
    </row>
    <row r="163" customFormat="false" ht="15" hidden="false" customHeight="false" outlineLevel="0" collapsed="false">
      <c r="A163" s="2" t="s">
        <v>154</v>
      </c>
      <c r="B163" s="2" t="s">
        <v>189</v>
      </c>
      <c r="C163" s="2" t="s">
        <v>15</v>
      </c>
      <c r="D163" s="3" t="n">
        <v>29500</v>
      </c>
      <c r="E163" s="3" t="str">
        <f aca="false">IF(OR($C163="KilnStar",$D163="",INDEX('Controller Prices'!$D:$D,MATCH($B163,'Controller Prices'!$B:$B,0))=""),"",INDEX('Controller Prices'!$D:$D,MATCH($B163,'Controller Prices'!$B:$B,0))-$D163)</f>
        <v/>
      </c>
      <c r="F163" s="3" t="n">
        <f aca="false">IF(OR($D163="",INDEX('Controller Prices'!$E:$E,MATCH($B163,'Controller Prices'!$B:$B,0))=""),"",INDEX('Controller Prices'!$E:$E,MATCH($B163,'Controller Prices'!$B:$B,0))-$D163)</f>
        <v>150</v>
      </c>
      <c r="G163" s="3" t="n">
        <v>20650</v>
      </c>
      <c r="H163" s="3" t="str">
        <f aca="false">IF(OR($C163="KilnStar",$G163="",INDEX('Controller Prices'!$H:$H,MATCH($B163,'Controller Prices'!$B:$B,0))=""),"",INDEX('Controller Prices'!$H:$H,MATCH($B163,'Controller Prices'!$B:$B,0))-$G163)</f>
        <v/>
      </c>
      <c r="I163" s="3" t="n">
        <f aca="false">IF(OR($G163="",INDEX('Controller Prices'!$I:$I,MATCH($B163,'Controller Prices'!$B:$B,0))=""),"",INDEX('Controller Prices'!$I:$I,MATCH($B163,'Controller Prices'!$B:$B,0))-$G163)</f>
        <v>105</v>
      </c>
    </row>
    <row r="164" customFormat="false" ht="15" hidden="false" customHeight="false" outlineLevel="0" collapsed="false">
      <c r="A164" s="2" t="s">
        <v>154</v>
      </c>
      <c r="B164" s="2" t="s">
        <v>190</v>
      </c>
      <c r="C164" s="2" t="s">
        <v>15</v>
      </c>
      <c r="D164" s="3" t="n">
        <v>36000</v>
      </c>
      <c r="E164" s="3" t="str">
        <f aca="false">IF(OR($C164="KilnStar",$D164="",INDEX('Controller Prices'!$D:$D,MATCH($B164,'Controller Prices'!$B:$B,0))=""),"",INDEX('Controller Prices'!$D:$D,MATCH($B164,'Controller Prices'!$B:$B,0))-$D164)</f>
        <v/>
      </c>
      <c r="F164" s="3" t="n">
        <f aca="false">IF(OR($D164="",INDEX('Controller Prices'!$E:$E,MATCH($B164,'Controller Prices'!$B:$B,0))=""),"",INDEX('Controller Prices'!$E:$E,MATCH($B164,'Controller Prices'!$B:$B,0))-$D164)</f>
        <v>500</v>
      </c>
      <c r="G164" s="3" t="n">
        <v>25200</v>
      </c>
      <c r="H164" s="3" t="str">
        <f aca="false">IF(OR($C164="KilnStar",$G164="",INDEX('Controller Prices'!$H:$H,MATCH($B164,'Controller Prices'!$B:$B,0))=""),"",INDEX('Controller Prices'!$H:$H,MATCH($B164,'Controller Prices'!$B:$B,0))-$G164)</f>
        <v/>
      </c>
      <c r="I164" s="3" t="n">
        <f aca="false">IF(OR($G164="",INDEX('Controller Prices'!$I:$I,MATCH($B164,'Controller Prices'!$B:$B,0))=""),"",INDEX('Controller Prices'!$I:$I,MATCH($B164,'Controller Prices'!$B:$B,0))-$G164)</f>
        <v>350</v>
      </c>
    </row>
    <row r="165" customFormat="false" ht="15" hidden="false" customHeight="false" outlineLevel="0" collapsed="false">
      <c r="A165" s="2" t="s">
        <v>154</v>
      </c>
      <c r="B165" s="2" t="s">
        <v>191</v>
      </c>
      <c r="C165" s="2" t="s">
        <v>15</v>
      </c>
      <c r="D165" s="3" t="n">
        <v>19500</v>
      </c>
      <c r="E165" s="3" t="str">
        <f aca="false">IF(OR($C165="KilnStar",$D165="",INDEX('Controller Prices'!$D:$D,MATCH($B165,'Controller Prices'!$B:$B,0))=""),"",INDEX('Controller Prices'!$D:$D,MATCH($B165,'Controller Prices'!$B:$B,0))-$D165)</f>
        <v/>
      </c>
      <c r="F165" s="3" t="n">
        <f aca="false">IF(OR($D165="",INDEX('Controller Prices'!$E:$E,MATCH($B165,'Controller Prices'!$B:$B,0))=""),"",INDEX('Controller Prices'!$E:$E,MATCH($B165,'Controller Prices'!$B:$B,0))-$D165)</f>
        <v>150</v>
      </c>
      <c r="G165" s="3" t="n">
        <v>13650</v>
      </c>
      <c r="H165" s="3" t="str">
        <f aca="false">IF(OR($C165="KilnStar",$G165="",INDEX('Controller Prices'!$H:$H,MATCH($B165,'Controller Prices'!$B:$B,0))=""),"",INDEX('Controller Prices'!$H:$H,MATCH($B165,'Controller Prices'!$B:$B,0))-$G165)</f>
        <v/>
      </c>
      <c r="I165" s="3" t="n">
        <f aca="false">IF(OR($G165="",INDEX('Controller Prices'!$I:$I,MATCH($B165,'Controller Prices'!$B:$B,0))=""),"",INDEX('Controller Prices'!$I:$I,MATCH($B165,'Controller Prices'!$B:$B,0))-$G165)</f>
        <v>105</v>
      </c>
    </row>
    <row r="166" customFormat="false" ht="15" hidden="false" customHeight="false" outlineLevel="0" collapsed="false">
      <c r="A166" s="2" t="s">
        <v>154</v>
      </c>
      <c r="B166" s="2" t="s">
        <v>192</v>
      </c>
      <c r="C166" s="2" t="s">
        <v>15</v>
      </c>
      <c r="D166" s="3" t="n">
        <v>19150</v>
      </c>
      <c r="E166" s="3" t="str">
        <f aca="false">IF(OR($C166="KilnStar",$D166="",INDEX('Controller Prices'!$D:$D,MATCH($B166,'Controller Prices'!$B:$B,0))=""),"",INDEX('Controller Prices'!$D:$D,MATCH($B166,'Controller Prices'!$B:$B,0))-$D166)</f>
        <v/>
      </c>
      <c r="F166" s="3" t="n">
        <f aca="false">IF(OR($D166="",INDEX('Controller Prices'!$E:$E,MATCH($B166,'Controller Prices'!$B:$B,0))=""),"",INDEX('Controller Prices'!$E:$E,MATCH($B166,'Controller Prices'!$B:$B,0))-$D166)</f>
        <v>150</v>
      </c>
      <c r="G166" s="3" t="n">
        <v>13405</v>
      </c>
      <c r="H166" s="3" t="str">
        <f aca="false">IF(OR($C166="KilnStar",$G166="",INDEX('Controller Prices'!$H:$H,MATCH($B166,'Controller Prices'!$B:$B,0))=""),"",INDEX('Controller Prices'!$H:$H,MATCH($B166,'Controller Prices'!$B:$B,0))-$G166)</f>
        <v/>
      </c>
      <c r="I166" s="3" t="n">
        <f aca="false">IF(OR($G166="",INDEX('Controller Prices'!$I:$I,MATCH($B166,'Controller Prices'!$B:$B,0))=""),"",INDEX('Controller Prices'!$I:$I,MATCH($B166,'Controller Prices'!$B:$B,0))-$G166)</f>
        <v>105</v>
      </c>
    </row>
    <row r="167" customFormat="false" ht="15" hidden="false" customHeight="false" outlineLevel="0" collapsed="false">
      <c r="A167" s="2" t="s">
        <v>154</v>
      </c>
      <c r="B167" s="2" t="s">
        <v>193</v>
      </c>
      <c r="C167" s="2" t="s">
        <v>15</v>
      </c>
      <c r="D167" s="3" t="n">
        <v>27250</v>
      </c>
      <c r="E167" s="3" t="str">
        <f aca="false">IF(OR($C167="KilnStar",$D167="",INDEX('Controller Prices'!$D:$D,MATCH($B167,'Controller Prices'!$B:$B,0))=""),"",INDEX('Controller Prices'!$D:$D,MATCH($B167,'Controller Prices'!$B:$B,0))-$D167)</f>
        <v/>
      </c>
      <c r="F167" s="3" t="n">
        <f aca="false">IF(OR($D167="",INDEX('Controller Prices'!$E:$E,MATCH($B167,'Controller Prices'!$B:$B,0))=""),"",INDEX('Controller Prices'!$E:$E,MATCH($B167,'Controller Prices'!$B:$B,0))-$D167)</f>
        <v>150</v>
      </c>
      <c r="G167" s="3" t="n">
        <v>19075</v>
      </c>
      <c r="H167" s="3" t="str">
        <f aca="false">IF(OR($C167="KilnStar",$G167="",INDEX('Controller Prices'!$H:$H,MATCH($B167,'Controller Prices'!$B:$B,0))=""),"",INDEX('Controller Prices'!$H:$H,MATCH($B167,'Controller Prices'!$B:$B,0))-$G167)</f>
        <v/>
      </c>
      <c r="I167" s="3" t="n">
        <f aca="false">IF(OR($G167="",INDEX('Controller Prices'!$I:$I,MATCH($B167,'Controller Prices'!$B:$B,0))=""),"",INDEX('Controller Prices'!$I:$I,MATCH($B167,'Controller Prices'!$B:$B,0))-$G167)</f>
        <v>105</v>
      </c>
    </row>
    <row r="168" customFormat="false" ht="15" hidden="false" customHeight="false" outlineLevel="0" collapsed="false">
      <c r="A168" s="2" t="s">
        <v>154</v>
      </c>
      <c r="B168" s="2" t="s">
        <v>194</v>
      </c>
      <c r="C168" s="2" t="s">
        <v>15</v>
      </c>
      <c r="D168" s="3" t="n">
        <v>34100</v>
      </c>
      <c r="E168" s="3" t="str">
        <f aca="false">IF(OR($C168="KilnStar",$D168="",INDEX('Controller Prices'!$D:$D,MATCH($B168,'Controller Prices'!$B:$B,0))=""),"",INDEX('Controller Prices'!$D:$D,MATCH($B168,'Controller Prices'!$B:$B,0))-$D168)</f>
        <v/>
      </c>
      <c r="F168" s="3" t="n">
        <f aca="false">IF(OR($D168="",INDEX('Controller Prices'!$E:$E,MATCH($B168,'Controller Prices'!$B:$B,0))=""),"",INDEX('Controller Prices'!$E:$E,MATCH($B168,'Controller Prices'!$B:$B,0))-$D168)</f>
        <v>150</v>
      </c>
      <c r="G168" s="3" t="n">
        <v>23870</v>
      </c>
      <c r="H168" s="3" t="str">
        <f aca="false">IF(OR($C168="KilnStar",$G168="",INDEX('Controller Prices'!$H:$H,MATCH($B168,'Controller Prices'!$B:$B,0))=""),"",INDEX('Controller Prices'!$H:$H,MATCH($B168,'Controller Prices'!$B:$B,0))-$G168)</f>
        <v/>
      </c>
      <c r="I168" s="3" t="n">
        <f aca="false">IF(OR($G168="",INDEX('Controller Prices'!$I:$I,MATCH($B168,'Controller Prices'!$B:$B,0))=""),"",INDEX('Controller Prices'!$I:$I,MATCH($B168,'Controller Prices'!$B:$B,0))-$G168)</f>
        <v>105</v>
      </c>
    </row>
    <row r="169" customFormat="false" ht="15" hidden="false" customHeight="false" outlineLevel="0" collapsed="false">
      <c r="A169" s="2" t="s">
        <v>154</v>
      </c>
      <c r="B169" s="2" t="s">
        <v>195</v>
      </c>
      <c r="C169" s="2" t="s">
        <v>15</v>
      </c>
      <c r="D169" s="3" t="n">
        <v>22000</v>
      </c>
      <c r="E169" s="3" t="str">
        <f aca="false">IF(OR($C169="KilnStar",$D169="",INDEX('Controller Prices'!$D:$D,MATCH($B169,'Controller Prices'!$B:$B,0))=""),"",INDEX('Controller Prices'!$D:$D,MATCH($B169,'Controller Prices'!$B:$B,0))-$D169)</f>
        <v/>
      </c>
      <c r="F169" s="3" t="n">
        <f aca="false">IF(OR($D169="",INDEX('Controller Prices'!$E:$E,MATCH($B169,'Controller Prices'!$B:$B,0))=""),"",INDEX('Controller Prices'!$E:$E,MATCH($B169,'Controller Prices'!$B:$B,0))-$D169)</f>
        <v>150</v>
      </c>
      <c r="G169" s="3" t="n">
        <v>15400</v>
      </c>
      <c r="H169" s="3" t="str">
        <f aca="false">IF(OR($C169="KilnStar",$G169="",INDEX('Controller Prices'!$H:$H,MATCH($B169,'Controller Prices'!$B:$B,0))=""),"",INDEX('Controller Prices'!$H:$H,MATCH($B169,'Controller Prices'!$B:$B,0))-$G169)</f>
        <v/>
      </c>
      <c r="I169" s="3" t="n">
        <f aca="false">IF(OR($G169="",INDEX('Controller Prices'!$I:$I,MATCH($B169,'Controller Prices'!$B:$B,0))=""),"",INDEX('Controller Prices'!$I:$I,MATCH($B169,'Controller Prices'!$B:$B,0))-$G169)</f>
        <v>105</v>
      </c>
    </row>
    <row r="170" customFormat="false" ht="15" hidden="false" customHeight="false" outlineLevel="0" collapsed="false">
      <c r="A170" s="2" t="s">
        <v>154</v>
      </c>
      <c r="B170" s="2" t="s">
        <v>196</v>
      </c>
      <c r="C170" s="2" t="s">
        <v>15</v>
      </c>
      <c r="D170" s="3" t="n">
        <v>29950</v>
      </c>
      <c r="E170" s="3" t="str">
        <f aca="false">IF(OR($C170="KilnStar",$D170="",INDEX('Controller Prices'!$D:$D,MATCH($B170,'Controller Prices'!$B:$B,0))=""),"",INDEX('Controller Prices'!$D:$D,MATCH($B170,'Controller Prices'!$B:$B,0))-$D170)</f>
        <v/>
      </c>
      <c r="F170" s="3" t="n">
        <f aca="false">IF(OR($D170="",INDEX('Controller Prices'!$E:$E,MATCH($B170,'Controller Prices'!$B:$B,0))=""),"",INDEX('Controller Prices'!$E:$E,MATCH($B170,'Controller Prices'!$B:$B,0))-$D170)</f>
        <v>150</v>
      </c>
      <c r="G170" s="3" t="n">
        <v>20965</v>
      </c>
      <c r="H170" s="3" t="str">
        <f aca="false">IF(OR($C170="KilnStar",$G170="",INDEX('Controller Prices'!$H:$H,MATCH($B170,'Controller Prices'!$B:$B,0))=""),"",INDEX('Controller Prices'!$H:$H,MATCH($B170,'Controller Prices'!$B:$B,0))-$G170)</f>
        <v/>
      </c>
      <c r="I170" s="3" t="n">
        <f aca="false">IF(OR($G170="",INDEX('Controller Prices'!$I:$I,MATCH($B170,'Controller Prices'!$B:$B,0))=""),"",INDEX('Controller Prices'!$I:$I,MATCH($B170,'Controller Prices'!$B:$B,0))-$G170)</f>
        <v>105</v>
      </c>
    </row>
    <row r="171" customFormat="false" ht="15" hidden="false" customHeight="false" outlineLevel="0" collapsed="false">
      <c r="A171" s="2" t="s">
        <v>154</v>
      </c>
      <c r="B171" s="2" t="s">
        <v>197</v>
      </c>
      <c r="C171" s="2" t="s">
        <v>15</v>
      </c>
      <c r="D171" s="3" t="n">
        <v>37500</v>
      </c>
      <c r="E171" s="3" t="str">
        <f aca="false">IF(OR($C171="KilnStar",$D171="",INDEX('Controller Prices'!$D:$D,MATCH($B171,'Controller Prices'!$B:$B,0))=""),"",INDEX('Controller Prices'!$D:$D,MATCH($B171,'Controller Prices'!$B:$B,0))-$D171)</f>
        <v/>
      </c>
      <c r="F171" s="3" t="n">
        <f aca="false">IF(OR($D171="",INDEX('Controller Prices'!$E:$E,MATCH($B171,'Controller Prices'!$B:$B,0))=""),"",INDEX('Controller Prices'!$E:$E,MATCH($B171,'Controller Prices'!$B:$B,0))-$D171)</f>
        <v>150</v>
      </c>
      <c r="G171" s="3" t="n">
        <v>26250</v>
      </c>
      <c r="H171" s="3" t="str">
        <f aca="false">IF(OR($C171="KilnStar",$G171="",INDEX('Controller Prices'!$H:$H,MATCH($B171,'Controller Prices'!$B:$B,0))=""),"",INDEX('Controller Prices'!$H:$H,MATCH($B171,'Controller Prices'!$B:$B,0))-$G171)</f>
        <v/>
      </c>
      <c r="I171" s="3" t="n">
        <f aca="false">IF(OR($G171="",INDEX('Controller Prices'!$I:$I,MATCH($B171,'Controller Prices'!$B:$B,0))=""),"",INDEX('Controller Prices'!$I:$I,MATCH($B171,'Controller Prices'!$B:$B,0))-$G171)</f>
        <v>105</v>
      </c>
    </row>
    <row r="172" customFormat="false" ht="15" hidden="false" customHeight="false" outlineLevel="0" collapsed="false">
      <c r="A172" s="2" t="s">
        <v>198</v>
      </c>
      <c r="B172" s="2" t="s">
        <v>199</v>
      </c>
      <c r="C172" s="2" t="s">
        <v>15</v>
      </c>
      <c r="D172" s="3" t="n">
        <v>33000</v>
      </c>
      <c r="E172" s="3" t="str">
        <f aca="false">IF(OR($C172="KilnStar",$D172="",INDEX('Controller Prices'!$D:$D,MATCH($B172,'Controller Prices'!$B:$B,0))=""),"",INDEX('Controller Prices'!$D:$D,MATCH($B172,'Controller Prices'!$B:$B,0))-$D172)</f>
        <v/>
      </c>
      <c r="F172" s="3" t="n">
        <f aca="false">IF(OR($D172="",INDEX('Controller Prices'!$E:$E,MATCH($B172,'Controller Prices'!$B:$B,0))=""),"",INDEX('Controller Prices'!$E:$E,MATCH($B172,'Controller Prices'!$B:$B,0))-$D172)</f>
        <v>150</v>
      </c>
      <c r="G172" s="3" t="n">
        <v>23100</v>
      </c>
      <c r="H172" s="3" t="str">
        <f aca="false">IF(OR($C172="KilnStar",$G172="",INDEX('Controller Prices'!$H:$H,MATCH($B172,'Controller Prices'!$B:$B,0))=""),"",INDEX('Controller Prices'!$H:$H,MATCH($B172,'Controller Prices'!$B:$B,0))-$G172)</f>
        <v/>
      </c>
      <c r="I172" s="3" t="n">
        <f aca="false">IF(OR($G172="",INDEX('Controller Prices'!$I:$I,MATCH($B172,'Controller Prices'!$B:$B,0))=""),"",INDEX('Controller Prices'!$I:$I,MATCH($B172,'Controller Prices'!$B:$B,0))-$G172)</f>
        <v>105</v>
      </c>
    </row>
    <row r="173" customFormat="false" ht="15" hidden="false" customHeight="false" outlineLevel="0" collapsed="false">
      <c r="A173" s="2" t="s">
        <v>198</v>
      </c>
      <c r="B173" s="2" t="s">
        <v>200</v>
      </c>
      <c r="C173" s="2" t="s">
        <v>15</v>
      </c>
      <c r="D173" s="3" t="n">
        <v>41500</v>
      </c>
      <c r="E173" s="3" t="str">
        <f aca="false">IF(OR($C173="KilnStar",$D173="",INDEX('Controller Prices'!$D:$D,MATCH($B173,'Controller Prices'!$B:$B,0))=""),"",INDEX('Controller Prices'!$D:$D,MATCH($B173,'Controller Prices'!$B:$B,0))-$D173)</f>
        <v/>
      </c>
      <c r="F173" s="3" t="n">
        <f aca="false">IF(OR($D173="",INDEX('Controller Prices'!$E:$E,MATCH($B173,'Controller Prices'!$B:$B,0))=""),"",INDEX('Controller Prices'!$E:$E,MATCH($B173,'Controller Prices'!$B:$B,0))-$D173)</f>
        <v>150</v>
      </c>
      <c r="G173" s="3" t="n">
        <v>29050</v>
      </c>
      <c r="H173" s="3" t="str">
        <f aca="false">IF(OR($C173="KilnStar",$G173="",INDEX('Controller Prices'!$H:$H,MATCH($B173,'Controller Prices'!$B:$B,0))=""),"",INDEX('Controller Prices'!$H:$H,MATCH($B173,'Controller Prices'!$B:$B,0))-$G173)</f>
        <v/>
      </c>
      <c r="I173" s="3" t="n">
        <f aca="false">IF(OR($G173="",INDEX('Controller Prices'!$I:$I,MATCH($B173,'Controller Prices'!$B:$B,0))=""),"",INDEX('Controller Prices'!$I:$I,MATCH($B173,'Controller Prices'!$B:$B,0))-$G173)</f>
        <v>105</v>
      </c>
    </row>
    <row r="174" customFormat="false" ht="15" hidden="false" customHeight="false" outlineLevel="0" collapsed="false">
      <c r="A174" s="2" t="s">
        <v>198</v>
      </c>
      <c r="B174" s="2" t="s">
        <v>201</v>
      </c>
      <c r="C174" s="2" t="s">
        <v>15</v>
      </c>
      <c r="D174" s="3" t="n">
        <v>37000</v>
      </c>
      <c r="E174" s="3" t="str">
        <f aca="false">IF(OR($C174="KilnStar",$D174="",INDEX('Controller Prices'!$D:$D,MATCH($B174,'Controller Prices'!$B:$B,0))=""),"",INDEX('Controller Prices'!$D:$D,MATCH($B174,'Controller Prices'!$B:$B,0))-$D174)</f>
        <v/>
      </c>
      <c r="F174" s="3" t="n">
        <f aca="false">IF(OR($D174="",INDEX('Controller Prices'!$E:$E,MATCH($B174,'Controller Prices'!$B:$B,0))=""),"",INDEX('Controller Prices'!$E:$E,MATCH($B174,'Controller Prices'!$B:$B,0))-$D174)</f>
        <v>150</v>
      </c>
      <c r="G174" s="3" t="n">
        <v>25900</v>
      </c>
      <c r="H174" s="3" t="str">
        <f aca="false">IF(OR($C174="KilnStar",$G174="",INDEX('Controller Prices'!$H:$H,MATCH($B174,'Controller Prices'!$B:$B,0))=""),"",INDEX('Controller Prices'!$H:$H,MATCH($B174,'Controller Prices'!$B:$B,0))-$G174)</f>
        <v/>
      </c>
      <c r="I174" s="3" t="n">
        <f aca="false">IF(OR($G174="",INDEX('Controller Prices'!$I:$I,MATCH($B174,'Controller Prices'!$B:$B,0))=""),"",INDEX('Controller Prices'!$I:$I,MATCH($B174,'Controller Prices'!$B:$B,0))-$G174)</f>
        <v>105</v>
      </c>
    </row>
    <row r="175" customFormat="false" ht="15" hidden="false" customHeight="false" outlineLevel="0" collapsed="false">
      <c r="A175" s="2" t="s">
        <v>198</v>
      </c>
      <c r="B175" s="2" t="s">
        <v>202</v>
      </c>
      <c r="C175" s="2" t="s">
        <v>15</v>
      </c>
      <c r="D175" s="3" t="n">
        <v>46000</v>
      </c>
      <c r="E175" s="3" t="str">
        <f aca="false">IF(OR($C175="KilnStar",$D175="",INDEX('Controller Prices'!$D:$D,MATCH($B175,'Controller Prices'!$B:$B,0))=""),"",INDEX('Controller Prices'!$D:$D,MATCH($B175,'Controller Prices'!$B:$B,0))-$D175)</f>
        <v/>
      </c>
      <c r="F175" s="3" t="n">
        <f aca="false">IF(OR($D175="",INDEX('Controller Prices'!$E:$E,MATCH($B175,'Controller Prices'!$B:$B,0))=""),"",INDEX('Controller Prices'!$E:$E,MATCH($B175,'Controller Prices'!$B:$B,0))-$D175)</f>
        <v>150</v>
      </c>
      <c r="G175" s="3" t="n">
        <v>32200</v>
      </c>
      <c r="H175" s="3" t="str">
        <f aca="false">IF(OR($C175="KilnStar",$G175="",INDEX('Controller Prices'!$H:$H,MATCH($B175,'Controller Prices'!$B:$B,0))=""),"",INDEX('Controller Prices'!$H:$H,MATCH($B175,'Controller Prices'!$B:$B,0))-$G175)</f>
        <v/>
      </c>
      <c r="I175" s="3" t="n">
        <f aca="false">IF(OR($G175="",INDEX('Controller Prices'!$I:$I,MATCH($B175,'Controller Prices'!$B:$B,0))=""),"",INDEX('Controller Prices'!$I:$I,MATCH($B175,'Controller Prices'!$B:$B,0))-$G175)</f>
        <v>105</v>
      </c>
    </row>
    <row r="176" customFormat="false" ht="15" hidden="false" customHeight="false" outlineLevel="0" collapsed="false">
      <c r="A176" s="2" t="s">
        <v>203</v>
      </c>
      <c r="B176" s="2" t="s">
        <v>204</v>
      </c>
      <c r="C176" s="2" t="s">
        <v>205</v>
      </c>
      <c r="D176" s="3" t="n">
        <v>3500</v>
      </c>
      <c r="E176" s="3" t="str">
        <f aca="false">IF(OR($C176="KilnStar",$D176="",INDEX('Controller Prices'!$D:$D,MATCH($B176,'Controller Prices'!$B:$B,0))=""),"",INDEX('Controller Prices'!$D:$D,MATCH($B176,'Controller Prices'!$B:$B,0))-$D176)</f>
        <v/>
      </c>
      <c r="F176" s="3" t="str">
        <f aca="false">IF(OR($D176="",INDEX('Controller Prices'!$E:$E,MATCH($B176,'Controller Prices'!$B:$B,0))=""),"",INDEX('Controller Prices'!$E:$E,MATCH($B176,'Controller Prices'!$B:$B,0))-$D176)</f>
        <v/>
      </c>
      <c r="G176" s="3" t="n">
        <v>2100</v>
      </c>
      <c r="H176" s="3" t="str">
        <f aca="false">IF(OR($C176="KilnStar",$G176="",INDEX('Controller Prices'!$H:$H,MATCH($B176,'Controller Prices'!$B:$B,0))=""),"",INDEX('Controller Prices'!$H:$H,MATCH($B176,'Controller Prices'!$B:$B,0))-$G176)</f>
        <v/>
      </c>
      <c r="I176" s="3" t="str">
        <f aca="false">IF(OR($G176="",INDEX('Controller Prices'!$I:$I,MATCH($B176,'Controller Prices'!$B:$B,0))=""),"",INDEX('Controller Prices'!$I:$I,MATCH($B176,'Controller Prices'!$B:$B,0))-$G176)</f>
        <v/>
      </c>
    </row>
    <row r="177" customFormat="false" ht="15" hidden="false" customHeight="false" outlineLevel="0" collapsed="false">
      <c r="A177" s="2" t="s">
        <v>203</v>
      </c>
      <c r="B177" s="2" t="s">
        <v>206</v>
      </c>
      <c r="C177" s="2" t="s">
        <v>205</v>
      </c>
      <c r="D177" s="3" t="n">
        <v>5000</v>
      </c>
      <c r="E177" s="3" t="str">
        <f aca="false">IF(OR($C177="KilnStar",$D177="",INDEX('Controller Prices'!$D:$D,MATCH($B177,'Controller Prices'!$B:$B,0))=""),"",INDEX('Controller Prices'!$D:$D,MATCH($B177,'Controller Prices'!$B:$B,0))-$D177)</f>
        <v/>
      </c>
      <c r="F177" s="3" t="str">
        <f aca="false">IF(OR($D177="",INDEX('Controller Prices'!$E:$E,MATCH($B177,'Controller Prices'!$B:$B,0))=""),"",INDEX('Controller Prices'!$E:$E,MATCH($B177,'Controller Prices'!$B:$B,0))-$D177)</f>
        <v/>
      </c>
      <c r="G177" s="3" t="n">
        <v>3000</v>
      </c>
      <c r="H177" s="3" t="str">
        <f aca="false">IF(OR($C177="KilnStar",$G177="",INDEX('Controller Prices'!$H:$H,MATCH($B177,'Controller Prices'!$B:$B,0))=""),"",INDEX('Controller Prices'!$H:$H,MATCH($B177,'Controller Prices'!$B:$B,0))-$G177)</f>
        <v/>
      </c>
      <c r="I177" s="3" t="str">
        <f aca="false">IF(OR($G177="",INDEX('Controller Prices'!$I:$I,MATCH($B177,'Controller Prices'!$B:$B,0))=""),"",INDEX('Controller Prices'!$I:$I,MATCH($B177,'Controller Prices'!$B:$B,0))-$G177)</f>
        <v/>
      </c>
    </row>
    <row r="178" customFormat="false" ht="15" hidden="false" customHeight="false" outlineLevel="0" collapsed="false">
      <c r="A178" s="2" t="s">
        <v>203</v>
      </c>
      <c r="B178" s="2" t="s">
        <v>207</v>
      </c>
      <c r="C178" s="2" t="s">
        <v>205</v>
      </c>
      <c r="D178" s="3" t="n">
        <v>6500</v>
      </c>
      <c r="E178" s="3" t="str">
        <f aca="false">IF(OR($C178="KilnStar",$D178="",INDEX('Controller Prices'!$D:$D,MATCH($B178,'Controller Prices'!$B:$B,0))=""),"",INDEX('Controller Prices'!$D:$D,MATCH($B178,'Controller Prices'!$B:$B,0))-$D178)</f>
        <v/>
      </c>
      <c r="F178" s="3" t="str">
        <f aca="false">IF(OR($D178="",INDEX('Controller Prices'!$E:$E,MATCH($B178,'Controller Prices'!$B:$B,0))=""),"",INDEX('Controller Prices'!$E:$E,MATCH($B178,'Controller Prices'!$B:$B,0))-$D178)</f>
        <v/>
      </c>
      <c r="G178" s="3" t="n">
        <v>3900</v>
      </c>
      <c r="H178" s="3" t="str">
        <f aca="false">IF(OR($C178="KilnStar",$G178="",INDEX('Controller Prices'!$H:$H,MATCH($B178,'Controller Prices'!$B:$B,0))=""),"",INDEX('Controller Prices'!$H:$H,MATCH($B178,'Controller Prices'!$B:$B,0))-$G178)</f>
        <v/>
      </c>
      <c r="I178" s="3" t="str">
        <f aca="false">IF(OR($G178="",INDEX('Controller Prices'!$I:$I,MATCH($B178,'Controller Prices'!$B:$B,0))=""),"",INDEX('Controller Prices'!$I:$I,MATCH($B178,'Controller Prices'!$B:$B,0))-$G178)</f>
        <v/>
      </c>
    </row>
    <row r="179" customFormat="false" ht="15" hidden="false" customHeight="false" outlineLevel="0" collapsed="false">
      <c r="A179" s="2" t="s">
        <v>203</v>
      </c>
      <c r="B179" s="2" t="s">
        <v>208</v>
      </c>
      <c r="C179" s="2" t="s">
        <v>205</v>
      </c>
      <c r="D179" s="3" t="n">
        <v>3000</v>
      </c>
      <c r="E179" s="3" t="str">
        <f aca="false">IF(OR($C179="KilnStar",$D179="",INDEX('Controller Prices'!$D:$D,MATCH($B179,'Controller Prices'!$B:$B,0))=""),"",INDEX('Controller Prices'!$D:$D,MATCH($B179,'Controller Prices'!$B:$B,0))-$D179)</f>
        <v/>
      </c>
      <c r="F179" s="3" t="str">
        <f aca="false">IF(OR($D179="",INDEX('Controller Prices'!$E:$E,MATCH($B179,'Controller Prices'!$B:$B,0))=""),"",INDEX('Controller Prices'!$E:$E,MATCH($B179,'Controller Prices'!$B:$B,0))-$D179)</f>
        <v/>
      </c>
      <c r="G179" s="3" t="n">
        <v>1800</v>
      </c>
      <c r="H179" s="3" t="str">
        <f aca="false">IF(OR($C179="KilnStar",$G179="",INDEX('Controller Prices'!$H:$H,MATCH($B179,'Controller Prices'!$B:$B,0))=""),"",INDEX('Controller Prices'!$H:$H,MATCH($B179,'Controller Prices'!$B:$B,0))-$G179)</f>
        <v/>
      </c>
      <c r="I179" s="3" t="str">
        <f aca="false">IF(OR($G179="",INDEX('Controller Prices'!$I:$I,MATCH($B179,'Controller Prices'!$B:$B,0))=""),"",INDEX('Controller Prices'!$I:$I,MATCH($B179,'Controller Prices'!$B:$B,0))-$G179)</f>
        <v/>
      </c>
    </row>
    <row r="180" customFormat="false" ht="15" hidden="false" customHeight="false" outlineLevel="0" collapsed="false">
      <c r="A180" s="2" t="s">
        <v>203</v>
      </c>
      <c r="B180" s="2" t="s">
        <v>209</v>
      </c>
      <c r="C180" s="2" t="s">
        <v>205</v>
      </c>
      <c r="D180" s="3" t="n">
        <v>4000</v>
      </c>
      <c r="E180" s="3" t="str">
        <f aca="false">IF(OR($C180="KilnStar",$D180="",INDEX('Controller Prices'!$D:$D,MATCH($B180,'Controller Prices'!$B:$B,0))=""),"",INDEX('Controller Prices'!$D:$D,MATCH($B180,'Controller Prices'!$B:$B,0))-$D180)</f>
        <v/>
      </c>
      <c r="F180" s="3" t="str">
        <f aca="false">IF(OR($D180="",INDEX('Controller Prices'!$E:$E,MATCH($B180,'Controller Prices'!$B:$B,0))=""),"",INDEX('Controller Prices'!$E:$E,MATCH($B180,'Controller Prices'!$B:$B,0))-$D180)</f>
        <v/>
      </c>
      <c r="G180" s="3" t="n">
        <v>2400</v>
      </c>
      <c r="H180" s="3" t="str">
        <f aca="false">IF(OR($C180="KilnStar",$G180="",INDEX('Controller Prices'!$H:$H,MATCH($B180,'Controller Prices'!$B:$B,0))=""),"",INDEX('Controller Prices'!$H:$H,MATCH($B180,'Controller Prices'!$B:$B,0))-$G180)</f>
        <v/>
      </c>
      <c r="I180" s="3" t="str">
        <f aca="false">IF(OR($G180="",INDEX('Controller Prices'!$I:$I,MATCH($B180,'Controller Prices'!$B:$B,0))=""),"",INDEX('Controller Prices'!$I:$I,MATCH($B180,'Controller Prices'!$B:$B,0))-$G180)</f>
        <v/>
      </c>
    </row>
    <row r="181" customFormat="false" ht="15" hidden="false" customHeight="false" outlineLevel="0" collapsed="false">
      <c r="A181" s="2" t="s">
        <v>203</v>
      </c>
      <c r="B181" s="2" t="s">
        <v>210</v>
      </c>
      <c r="C181" s="2" t="s">
        <v>205</v>
      </c>
      <c r="D181" s="3" t="n">
        <v>4250</v>
      </c>
      <c r="E181" s="3" t="str">
        <f aca="false">IF(OR($C181="KilnStar",$D181="",INDEX('Controller Prices'!$D:$D,MATCH($B181,'Controller Prices'!$B:$B,0))=""),"",INDEX('Controller Prices'!$D:$D,MATCH($B181,'Controller Prices'!$B:$B,0))-$D181)</f>
        <v/>
      </c>
      <c r="F181" s="3" t="str">
        <f aca="false">IF(OR($D181="",INDEX('Controller Prices'!$E:$E,MATCH($B181,'Controller Prices'!$B:$B,0))=""),"",INDEX('Controller Prices'!$E:$E,MATCH($B181,'Controller Prices'!$B:$B,0))-$D181)</f>
        <v/>
      </c>
      <c r="G181" s="3" t="n">
        <v>2550</v>
      </c>
      <c r="H181" s="3" t="str">
        <f aca="false">IF(OR($C181="KilnStar",$G181="",INDEX('Controller Prices'!$H:$H,MATCH($B181,'Controller Prices'!$B:$B,0))=""),"",INDEX('Controller Prices'!$H:$H,MATCH($B181,'Controller Prices'!$B:$B,0))-$G181)</f>
        <v/>
      </c>
      <c r="I181" s="3" t="str">
        <f aca="false">IF(OR($G181="",INDEX('Controller Prices'!$I:$I,MATCH($B181,'Controller Prices'!$B:$B,0))=""),"",INDEX('Controller Prices'!$I:$I,MATCH($B181,'Controller Prices'!$B:$B,0))-$G181)</f>
        <v/>
      </c>
    </row>
    <row r="182" customFormat="false" ht="15" hidden="false" customHeight="false" outlineLevel="0" collapsed="false">
      <c r="A182" s="2" t="s">
        <v>203</v>
      </c>
      <c r="B182" s="2" t="s">
        <v>211</v>
      </c>
      <c r="C182" s="2" t="s">
        <v>205</v>
      </c>
      <c r="D182" s="3" t="n">
        <v>5200</v>
      </c>
      <c r="E182" s="3" t="str">
        <f aca="false">IF(OR($C182="KilnStar",$D182="",INDEX('Controller Prices'!$D:$D,MATCH($B182,'Controller Prices'!$B:$B,0))=""),"",INDEX('Controller Prices'!$D:$D,MATCH($B182,'Controller Prices'!$B:$B,0))-$D182)</f>
        <v/>
      </c>
      <c r="F182" s="3" t="str">
        <f aca="false">IF(OR($D182="",INDEX('Controller Prices'!$E:$E,MATCH($B182,'Controller Prices'!$B:$B,0))=""),"",INDEX('Controller Prices'!$E:$E,MATCH($B182,'Controller Prices'!$B:$B,0))-$D182)</f>
        <v/>
      </c>
      <c r="G182" s="3" t="n">
        <v>3120</v>
      </c>
      <c r="H182" s="3" t="str">
        <f aca="false">IF(OR($C182="KilnStar",$G182="",INDEX('Controller Prices'!$H:$H,MATCH($B182,'Controller Prices'!$B:$B,0))=""),"",INDEX('Controller Prices'!$H:$H,MATCH($B182,'Controller Prices'!$B:$B,0))-$G182)</f>
        <v/>
      </c>
      <c r="I182" s="3" t="str">
        <f aca="false">IF(OR($G182="",INDEX('Controller Prices'!$I:$I,MATCH($B182,'Controller Prices'!$B:$B,0))=""),"",INDEX('Controller Prices'!$I:$I,MATCH($B182,'Controller Prices'!$B:$B,0))-$G182)</f>
        <v/>
      </c>
    </row>
    <row r="183" customFormat="false" ht="15" hidden="false" customHeight="false" outlineLevel="0" collapsed="false">
      <c r="A183" s="2" t="s">
        <v>203</v>
      </c>
      <c r="B183" s="2" t="s">
        <v>212</v>
      </c>
      <c r="C183" s="2" t="s">
        <v>205</v>
      </c>
      <c r="D183" s="3" t="n">
        <v>5450</v>
      </c>
      <c r="E183" s="3" t="str">
        <f aca="false">IF(OR($C183="KilnStar",$D183="",INDEX('Controller Prices'!$D:$D,MATCH($B183,'Controller Prices'!$B:$B,0))=""),"",INDEX('Controller Prices'!$D:$D,MATCH($B183,'Controller Prices'!$B:$B,0))-$D183)</f>
        <v/>
      </c>
      <c r="F183" s="3" t="str">
        <f aca="false">IF(OR($D183="",INDEX('Controller Prices'!$E:$E,MATCH($B183,'Controller Prices'!$B:$B,0))=""),"",INDEX('Controller Prices'!$E:$E,MATCH($B183,'Controller Prices'!$B:$B,0))-$D183)</f>
        <v/>
      </c>
      <c r="G183" s="3" t="n">
        <v>3270</v>
      </c>
      <c r="H183" s="3" t="str">
        <f aca="false">IF(OR($C183="KilnStar",$G183="",INDEX('Controller Prices'!$H:$H,MATCH($B183,'Controller Prices'!$B:$B,0))=""),"",INDEX('Controller Prices'!$H:$H,MATCH($B183,'Controller Prices'!$B:$B,0))-$G183)</f>
        <v/>
      </c>
      <c r="I183" s="3" t="str">
        <f aca="false">IF(OR($G183="",INDEX('Controller Prices'!$I:$I,MATCH($B183,'Controller Prices'!$B:$B,0))=""),"",INDEX('Controller Prices'!$I:$I,MATCH($B183,'Controller Prices'!$B:$B,0))-$G183)</f>
        <v/>
      </c>
    </row>
    <row r="184" customFormat="false" ht="15" hidden="false" customHeight="false" outlineLevel="0" collapsed="false">
      <c r="A184" s="2" t="s">
        <v>213</v>
      </c>
      <c r="B184" s="2" t="s">
        <v>214</v>
      </c>
      <c r="C184" s="2" t="s">
        <v>205</v>
      </c>
      <c r="D184" s="3" t="n">
        <v>11800</v>
      </c>
      <c r="E184" s="3" t="str">
        <f aca="false">IF(OR($C184="KilnStar",$D184="",INDEX('Controller Prices'!$D:$D,MATCH($B184,'Controller Prices'!$B:$B,0))=""),"",INDEX('Controller Prices'!$D:$D,MATCH($B184,'Controller Prices'!$B:$B,0))-$D184)</f>
        <v/>
      </c>
      <c r="F184" s="3" t="str">
        <f aca="false">IF(OR($D184="",INDEX('Controller Prices'!$E:$E,MATCH($B184,'Controller Prices'!$B:$B,0))=""),"",INDEX('Controller Prices'!$E:$E,MATCH($B184,'Controller Prices'!$B:$B,0))-$D184)</f>
        <v/>
      </c>
      <c r="G184" s="3" t="n">
        <v>8260</v>
      </c>
      <c r="H184" s="3" t="str">
        <f aca="false">IF(OR($C184="KilnStar",$G184="",INDEX('Controller Prices'!$H:$H,MATCH($B184,'Controller Prices'!$B:$B,0))=""),"",INDEX('Controller Prices'!$H:$H,MATCH($B184,'Controller Prices'!$B:$B,0))-$G184)</f>
        <v/>
      </c>
      <c r="I184" s="3" t="str">
        <f aca="false">IF(OR($G184="",INDEX('Controller Prices'!$I:$I,MATCH($B184,'Controller Prices'!$B:$B,0))=""),"",INDEX('Controller Prices'!$I:$I,MATCH($B184,'Controller Prices'!$B:$B,0))-$G184)</f>
        <v/>
      </c>
    </row>
    <row r="185" customFormat="false" ht="15" hidden="false" customHeight="false" outlineLevel="0" collapsed="false">
      <c r="A185" s="2" t="s">
        <v>213</v>
      </c>
      <c r="B185" s="2" t="s">
        <v>215</v>
      </c>
      <c r="C185" s="2" t="s">
        <v>205</v>
      </c>
      <c r="D185" s="3" t="n">
        <v>15150</v>
      </c>
      <c r="E185" s="3" t="str">
        <f aca="false">IF(OR($C185="KilnStar",$D185="",INDEX('Controller Prices'!$D:$D,MATCH($B185,'Controller Prices'!$B:$B,0))=""),"",INDEX('Controller Prices'!$D:$D,MATCH($B185,'Controller Prices'!$B:$B,0))-$D185)</f>
        <v/>
      </c>
      <c r="F185" s="3" t="str">
        <f aca="false">IF(OR($D185="",INDEX('Controller Prices'!$E:$E,MATCH($B185,'Controller Prices'!$B:$B,0))=""),"",INDEX('Controller Prices'!$E:$E,MATCH($B185,'Controller Prices'!$B:$B,0))-$D185)</f>
        <v/>
      </c>
      <c r="G185" s="3" t="n">
        <v>10605</v>
      </c>
      <c r="H185" s="3" t="str">
        <f aca="false">IF(OR($C185="KilnStar",$G185="",INDEX('Controller Prices'!$H:$H,MATCH($B185,'Controller Prices'!$B:$B,0))=""),"",INDEX('Controller Prices'!$H:$H,MATCH($B185,'Controller Prices'!$B:$B,0))-$G185)</f>
        <v/>
      </c>
      <c r="I185" s="3" t="str">
        <f aca="false">IF(OR($G185="",INDEX('Controller Prices'!$I:$I,MATCH($B185,'Controller Prices'!$B:$B,0))=""),"",INDEX('Controller Prices'!$I:$I,MATCH($B185,'Controller Prices'!$B:$B,0))-$G185)</f>
        <v/>
      </c>
    </row>
    <row r="186" customFormat="false" ht="15" hidden="false" customHeight="false" outlineLevel="0" collapsed="false">
      <c r="A186" s="2" t="s">
        <v>213</v>
      </c>
      <c r="B186" s="2" t="s">
        <v>216</v>
      </c>
      <c r="C186" s="2" t="s">
        <v>205</v>
      </c>
      <c r="D186" s="3" t="n">
        <v>12300</v>
      </c>
      <c r="E186" s="3" t="str">
        <f aca="false">IF(OR($C186="KilnStar",$D186="",INDEX('Controller Prices'!$D:$D,MATCH($B186,'Controller Prices'!$B:$B,0))=""),"",INDEX('Controller Prices'!$D:$D,MATCH($B186,'Controller Prices'!$B:$B,0))-$D186)</f>
        <v/>
      </c>
      <c r="F186" s="3" t="str">
        <f aca="false">IF(OR($D186="",INDEX('Controller Prices'!$E:$E,MATCH($B186,'Controller Prices'!$B:$B,0))=""),"",INDEX('Controller Prices'!$E:$E,MATCH($B186,'Controller Prices'!$B:$B,0))-$D186)</f>
        <v/>
      </c>
      <c r="G186" s="3" t="n">
        <v>8610</v>
      </c>
      <c r="H186" s="3" t="str">
        <f aca="false">IF(OR($C186="KilnStar",$G186="",INDEX('Controller Prices'!$H:$H,MATCH($B186,'Controller Prices'!$B:$B,0))=""),"",INDEX('Controller Prices'!$H:$H,MATCH($B186,'Controller Prices'!$B:$B,0))-$G186)</f>
        <v/>
      </c>
      <c r="I186" s="3" t="str">
        <f aca="false">IF(OR($G186="",INDEX('Controller Prices'!$I:$I,MATCH($B186,'Controller Prices'!$B:$B,0))=""),"",INDEX('Controller Prices'!$I:$I,MATCH($B186,'Controller Prices'!$B:$B,0))-$G186)</f>
        <v/>
      </c>
    </row>
    <row r="187" customFormat="false" ht="15" hidden="false" customHeight="false" outlineLevel="0" collapsed="false">
      <c r="A187" s="2" t="s">
        <v>213</v>
      </c>
      <c r="B187" s="2" t="s">
        <v>217</v>
      </c>
      <c r="C187" s="2" t="s">
        <v>205</v>
      </c>
      <c r="D187" s="3" t="n">
        <v>15500</v>
      </c>
      <c r="E187" s="3" t="str">
        <f aca="false">IF(OR($C187="KilnStar",$D187="",INDEX('Controller Prices'!$D:$D,MATCH($B187,'Controller Prices'!$B:$B,0))=""),"",INDEX('Controller Prices'!$D:$D,MATCH($B187,'Controller Prices'!$B:$B,0))-$D187)</f>
        <v/>
      </c>
      <c r="F187" s="3" t="str">
        <f aca="false">IF(OR($D187="",INDEX('Controller Prices'!$E:$E,MATCH($B187,'Controller Prices'!$B:$B,0))=""),"",INDEX('Controller Prices'!$E:$E,MATCH($B187,'Controller Prices'!$B:$B,0))-$D187)</f>
        <v/>
      </c>
      <c r="G187" s="3" t="n">
        <v>10850</v>
      </c>
      <c r="H187" s="3" t="str">
        <f aca="false">IF(OR($C187="KilnStar",$G187="",INDEX('Controller Prices'!$H:$H,MATCH($B187,'Controller Prices'!$B:$B,0))=""),"",INDEX('Controller Prices'!$H:$H,MATCH($B187,'Controller Prices'!$B:$B,0))-$G187)</f>
        <v/>
      </c>
      <c r="I187" s="3" t="str">
        <f aca="false">IF(OR($G187="",INDEX('Controller Prices'!$I:$I,MATCH($B187,'Controller Prices'!$B:$B,0))=""),"",INDEX('Controller Prices'!$I:$I,MATCH($B187,'Controller Prices'!$B:$B,0))-$G187)</f>
        <v/>
      </c>
    </row>
    <row r="188" customFormat="false" ht="15" hidden="false" customHeight="false" outlineLevel="0" collapsed="false">
      <c r="A188" s="2" t="s">
        <v>213</v>
      </c>
      <c r="B188" s="2" t="s">
        <v>218</v>
      </c>
      <c r="C188" s="2" t="s">
        <v>205</v>
      </c>
      <c r="D188" s="3" t="n">
        <v>14500</v>
      </c>
      <c r="E188" s="3" t="str">
        <f aca="false">IF(OR($C188="KilnStar",$D188="",INDEX('Controller Prices'!$D:$D,MATCH($B188,'Controller Prices'!$B:$B,0))=""),"",INDEX('Controller Prices'!$D:$D,MATCH($B188,'Controller Prices'!$B:$B,0))-$D188)</f>
        <v/>
      </c>
      <c r="F188" s="3" t="str">
        <f aca="false">IF(OR($D188="",INDEX('Controller Prices'!$E:$E,MATCH($B188,'Controller Prices'!$B:$B,0))=""),"",INDEX('Controller Prices'!$E:$E,MATCH($B188,'Controller Prices'!$B:$B,0))-$D188)</f>
        <v/>
      </c>
      <c r="G188" s="3" t="n">
        <v>10150</v>
      </c>
      <c r="H188" s="3" t="str">
        <f aca="false">IF(OR($C188="KilnStar",$G188="",INDEX('Controller Prices'!$H:$H,MATCH($B188,'Controller Prices'!$B:$B,0))=""),"",INDEX('Controller Prices'!$H:$H,MATCH($B188,'Controller Prices'!$B:$B,0))-$G188)</f>
        <v/>
      </c>
      <c r="I188" s="3" t="str">
        <f aca="false">IF(OR($G188="",INDEX('Controller Prices'!$I:$I,MATCH($B188,'Controller Prices'!$B:$B,0))=""),"",INDEX('Controller Prices'!$I:$I,MATCH($B188,'Controller Prices'!$B:$B,0))-$G188)</f>
        <v/>
      </c>
    </row>
    <row r="189" customFormat="false" ht="15" hidden="false" customHeight="false" outlineLevel="0" collapsed="false">
      <c r="A189" s="2" t="s">
        <v>213</v>
      </c>
      <c r="B189" s="2" t="s">
        <v>219</v>
      </c>
      <c r="C189" s="2" t="s">
        <v>205</v>
      </c>
      <c r="D189" s="3" t="n">
        <v>17250</v>
      </c>
      <c r="E189" s="3" t="str">
        <f aca="false">IF(OR($C189="KilnStar",$D189="",INDEX('Controller Prices'!$D:$D,MATCH($B189,'Controller Prices'!$B:$B,0))=""),"",INDEX('Controller Prices'!$D:$D,MATCH($B189,'Controller Prices'!$B:$B,0))-$D189)</f>
        <v/>
      </c>
      <c r="F189" s="3" t="str">
        <f aca="false">IF(OR($D189="",INDEX('Controller Prices'!$E:$E,MATCH($B189,'Controller Prices'!$B:$B,0))=""),"",INDEX('Controller Prices'!$E:$E,MATCH($B189,'Controller Prices'!$B:$B,0))-$D189)</f>
        <v/>
      </c>
      <c r="G189" s="3" t="n">
        <v>12075</v>
      </c>
      <c r="H189" s="3" t="str">
        <f aca="false">IF(OR($C189="KilnStar",$G189="",INDEX('Controller Prices'!$H:$H,MATCH($B189,'Controller Prices'!$B:$B,0))=""),"",INDEX('Controller Prices'!$H:$H,MATCH($B189,'Controller Prices'!$B:$B,0))-$G189)</f>
        <v/>
      </c>
      <c r="I189" s="3" t="str">
        <f aca="false">IF(OR($G189="",INDEX('Controller Prices'!$I:$I,MATCH($B189,'Controller Prices'!$B:$B,0))=""),"",INDEX('Controller Prices'!$I:$I,MATCH($B189,'Controller Prices'!$B:$B,0))-$G189)</f>
        <v/>
      </c>
    </row>
    <row r="190" customFormat="false" ht="15" hidden="false" customHeight="false" outlineLevel="0" collapsed="false">
      <c r="A190" s="2" t="s">
        <v>213</v>
      </c>
      <c r="B190" s="2" t="s">
        <v>220</v>
      </c>
      <c r="C190" s="2" t="s">
        <v>205</v>
      </c>
      <c r="D190" s="3" t="n">
        <v>16500</v>
      </c>
      <c r="E190" s="3" t="str">
        <f aca="false">IF(OR($C190="KilnStar",$D190="",INDEX('Controller Prices'!$D:$D,MATCH($B190,'Controller Prices'!$B:$B,0))=""),"",INDEX('Controller Prices'!$D:$D,MATCH($B190,'Controller Prices'!$B:$B,0))-$D190)</f>
        <v/>
      </c>
      <c r="F190" s="3" t="str">
        <f aca="false">IF(OR($D190="",INDEX('Controller Prices'!$E:$E,MATCH($B190,'Controller Prices'!$B:$B,0))=""),"",INDEX('Controller Prices'!$E:$E,MATCH($B190,'Controller Prices'!$B:$B,0))-$D190)</f>
        <v/>
      </c>
      <c r="G190" s="3" t="n">
        <v>11550</v>
      </c>
      <c r="H190" s="3" t="str">
        <f aca="false">IF(OR($C190="KilnStar",$G190="",INDEX('Controller Prices'!$H:$H,MATCH($B190,'Controller Prices'!$B:$B,0))=""),"",INDEX('Controller Prices'!$H:$H,MATCH($B190,'Controller Prices'!$B:$B,0))-$G190)</f>
        <v/>
      </c>
      <c r="I190" s="3" t="str">
        <f aca="false">IF(OR($G190="",INDEX('Controller Prices'!$I:$I,MATCH($B190,'Controller Prices'!$B:$B,0))=""),"",INDEX('Controller Prices'!$I:$I,MATCH($B190,'Controller Prices'!$B:$B,0))-$G190)</f>
        <v/>
      </c>
    </row>
    <row r="191" customFormat="false" ht="15" hidden="false" customHeight="false" outlineLevel="0" collapsed="false">
      <c r="A191" s="2" t="s">
        <v>213</v>
      </c>
      <c r="B191" s="2" t="s">
        <v>221</v>
      </c>
      <c r="C191" s="2" t="s">
        <v>205</v>
      </c>
      <c r="D191" s="3" t="n">
        <v>20500</v>
      </c>
      <c r="E191" s="3" t="str">
        <f aca="false">IF(OR($C191="KilnStar",$D191="",INDEX('Controller Prices'!$D:$D,MATCH($B191,'Controller Prices'!$B:$B,0))=""),"",INDEX('Controller Prices'!$D:$D,MATCH($B191,'Controller Prices'!$B:$B,0))-$D191)</f>
        <v/>
      </c>
      <c r="F191" s="3" t="str">
        <f aca="false">IF(OR($D191="",INDEX('Controller Prices'!$E:$E,MATCH($B191,'Controller Prices'!$B:$B,0))=""),"",INDEX('Controller Prices'!$E:$E,MATCH($B191,'Controller Prices'!$B:$B,0))-$D191)</f>
        <v/>
      </c>
      <c r="G191" s="3" t="n">
        <v>14350</v>
      </c>
      <c r="H191" s="3" t="str">
        <f aca="false">IF(OR($C191="KilnStar",$G191="",INDEX('Controller Prices'!$H:$H,MATCH($B191,'Controller Prices'!$B:$B,0))=""),"",INDEX('Controller Prices'!$H:$H,MATCH($B191,'Controller Prices'!$B:$B,0))-$G191)</f>
        <v/>
      </c>
      <c r="I191" s="3" t="str">
        <f aca="false">IF(OR($G191="",INDEX('Controller Prices'!$I:$I,MATCH($B191,'Controller Prices'!$B:$B,0))=""),"",INDEX('Controller Prices'!$I:$I,MATCH($B191,'Controller Prices'!$B:$B,0))-$G191)</f>
        <v/>
      </c>
    </row>
    <row r="192" customFormat="false" ht="15" hidden="false" customHeight="false" outlineLevel="0" collapsed="false">
      <c r="A192" s="2" t="s">
        <v>213</v>
      </c>
      <c r="B192" s="2" t="s">
        <v>222</v>
      </c>
      <c r="C192" s="2" t="s">
        <v>205</v>
      </c>
      <c r="D192" s="3" t="n">
        <v>19950</v>
      </c>
      <c r="E192" s="3" t="str">
        <f aca="false">IF(OR($C192="KilnStar",$D192="",INDEX('Controller Prices'!$D:$D,MATCH($B192,'Controller Prices'!$B:$B,0))=""),"",INDEX('Controller Prices'!$D:$D,MATCH($B192,'Controller Prices'!$B:$B,0))-$D192)</f>
        <v/>
      </c>
      <c r="F192" s="3" t="str">
        <f aca="false">IF(OR($D192="",INDEX('Controller Prices'!$E:$E,MATCH($B192,'Controller Prices'!$B:$B,0))=""),"",INDEX('Controller Prices'!$E:$E,MATCH($B192,'Controller Prices'!$B:$B,0))-$D192)</f>
        <v/>
      </c>
      <c r="G192" s="3" t="n">
        <v>13965</v>
      </c>
      <c r="H192" s="3" t="str">
        <f aca="false">IF(OR($C192="KilnStar",$G192="",INDEX('Controller Prices'!$H:$H,MATCH($B192,'Controller Prices'!$B:$B,0))=""),"",INDEX('Controller Prices'!$H:$H,MATCH($B192,'Controller Prices'!$B:$B,0))-$G192)</f>
        <v/>
      </c>
      <c r="I192" s="3" t="str">
        <f aca="false">IF(OR($G192="",INDEX('Controller Prices'!$I:$I,MATCH($B192,'Controller Prices'!$B:$B,0))=""),"",INDEX('Controller Prices'!$I:$I,MATCH($B192,'Controller Prices'!$B:$B,0))-$G192)</f>
        <v/>
      </c>
    </row>
    <row r="193" customFormat="false" ht="15" hidden="false" customHeight="false" outlineLevel="0" collapsed="false">
      <c r="A193" s="2" t="s">
        <v>213</v>
      </c>
      <c r="B193" s="2" t="s">
        <v>223</v>
      </c>
      <c r="C193" s="2" t="s">
        <v>205</v>
      </c>
      <c r="D193" s="3" t="n">
        <v>25000</v>
      </c>
      <c r="E193" s="3" t="str">
        <f aca="false">IF(OR($C193="KilnStar",$D193="",INDEX('Controller Prices'!$D:$D,MATCH($B193,'Controller Prices'!$B:$B,0))=""),"",INDEX('Controller Prices'!$D:$D,MATCH($B193,'Controller Prices'!$B:$B,0))-$D193)</f>
        <v/>
      </c>
      <c r="F193" s="3" t="str">
        <f aca="false">IF(OR($D193="",INDEX('Controller Prices'!$E:$E,MATCH($B193,'Controller Prices'!$B:$B,0))=""),"",INDEX('Controller Prices'!$E:$E,MATCH($B193,'Controller Prices'!$B:$B,0))-$D193)</f>
        <v/>
      </c>
      <c r="G193" s="3" t="n">
        <v>17500</v>
      </c>
      <c r="H193" s="3" t="str">
        <f aca="false">IF(OR($C193="KilnStar",$G193="",INDEX('Controller Prices'!$H:$H,MATCH($B193,'Controller Prices'!$B:$B,0))=""),"",INDEX('Controller Prices'!$H:$H,MATCH($B193,'Controller Prices'!$B:$B,0))-$G193)</f>
        <v/>
      </c>
      <c r="I193" s="3" t="str">
        <f aca="false">IF(OR($G193="",INDEX('Controller Prices'!$I:$I,MATCH($B193,'Controller Prices'!$B:$B,0))=""),"",INDEX('Controller Prices'!$I:$I,MATCH($B193,'Controller Prices'!$B:$B,0))-$G193)</f>
        <v/>
      </c>
    </row>
    <row r="194" customFormat="false" ht="15" hidden="false" customHeight="false" outlineLevel="0" collapsed="false">
      <c r="A194" s="2" t="s">
        <v>213</v>
      </c>
      <c r="B194" s="2" t="s">
        <v>224</v>
      </c>
      <c r="C194" s="2" t="s">
        <v>205</v>
      </c>
      <c r="D194" s="3" t="n">
        <v>22550</v>
      </c>
      <c r="E194" s="3" t="str">
        <f aca="false">IF(OR($C194="KilnStar",$D194="",INDEX('Controller Prices'!$D:$D,MATCH($B194,'Controller Prices'!$B:$B,0))=""),"",INDEX('Controller Prices'!$D:$D,MATCH($B194,'Controller Prices'!$B:$B,0))-$D194)</f>
        <v/>
      </c>
      <c r="F194" s="3" t="str">
        <f aca="false">IF(OR($D194="",INDEX('Controller Prices'!$E:$E,MATCH($B194,'Controller Prices'!$B:$B,0))=""),"",INDEX('Controller Prices'!$E:$E,MATCH($B194,'Controller Prices'!$B:$B,0))-$D194)</f>
        <v/>
      </c>
      <c r="G194" s="3" t="n">
        <v>15785</v>
      </c>
      <c r="H194" s="3" t="str">
        <f aca="false">IF(OR($C194="KilnStar",$G194="",INDEX('Controller Prices'!$H:$H,MATCH($B194,'Controller Prices'!$B:$B,0))=""),"",INDEX('Controller Prices'!$H:$H,MATCH($B194,'Controller Prices'!$B:$B,0))-$G194)</f>
        <v/>
      </c>
      <c r="I194" s="3" t="str">
        <f aca="false">IF(OR($G194="",INDEX('Controller Prices'!$I:$I,MATCH($B194,'Controller Prices'!$B:$B,0))=""),"",INDEX('Controller Prices'!$I:$I,MATCH($B194,'Controller Prices'!$B:$B,0))-$G194)</f>
        <v/>
      </c>
    </row>
    <row r="195" customFormat="false" ht="15" hidden="false" customHeight="false" outlineLevel="0" collapsed="false">
      <c r="A195" s="2" t="s">
        <v>213</v>
      </c>
      <c r="B195" s="2" t="s">
        <v>225</v>
      </c>
      <c r="C195" s="2" t="s">
        <v>205</v>
      </c>
      <c r="D195" s="3" t="n">
        <v>28200</v>
      </c>
      <c r="E195" s="3" t="str">
        <f aca="false">IF(OR($C195="KilnStar",$D195="",INDEX('Controller Prices'!$D:$D,MATCH($B195,'Controller Prices'!$B:$B,0))=""),"",INDEX('Controller Prices'!$D:$D,MATCH($B195,'Controller Prices'!$B:$B,0))-$D195)</f>
        <v/>
      </c>
      <c r="F195" s="3" t="str">
        <f aca="false">IF(OR($D195="",INDEX('Controller Prices'!$E:$E,MATCH($B195,'Controller Prices'!$B:$B,0))=""),"",INDEX('Controller Prices'!$E:$E,MATCH($B195,'Controller Prices'!$B:$B,0))-$D195)</f>
        <v/>
      </c>
      <c r="G195" s="3" t="n">
        <v>19740</v>
      </c>
      <c r="H195" s="3" t="str">
        <f aca="false">IF(OR($C195="KilnStar",$G195="",INDEX('Controller Prices'!$H:$H,MATCH($B195,'Controller Prices'!$B:$B,0))=""),"",INDEX('Controller Prices'!$H:$H,MATCH($B195,'Controller Prices'!$B:$B,0))-$G195)</f>
        <v/>
      </c>
      <c r="I195" s="3" t="str">
        <f aca="false">IF(OR($G195="",INDEX('Controller Prices'!$I:$I,MATCH($B195,'Controller Prices'!$B:$B,0))=""),"",INDEX('Controller Prices'!$I:$I,MATCH($B195,'Controller Prices'!$B:$B,0))-$G195)</f>
        <v/>
      </c>
    </row>
    <row r="196" customFormat="false" ht="15" hidden="false" customHeight="false" outlineLevel="0" collapsed="false">
      <c r="A196" s="2" t="s">
        <v>213</v>
      </c>
      <c r="B196" s="2" t="s">
        <v>226</v>
      </c>
      <c r="C196" s="2" t="s">
        <v>205</v>
      </c>
      <c r="D196" s="3" t="n">
        <v>25500</v>
      </c>
      <c r="E196" s="3" t="str">
        <f aca="false">IF(OR($C196="KilnStar",$D196="",INDEX('Controller Prices'!$D:$D,MATCH($B196,'Controller Prices'!$B:$B,0))=""),"",INDEX('Controller Prices'!$D:$D,MATCH($B196,'Controller Prices'!$B:$B,0))-$D196)</f>
        <v/>
      </c>
      <c r="F196" s="3" t="str">
        <f aca="false">IF(OR($D196="",INDEX('Controller Prices'!$E:$E,MATCH($B196,'Controller Prices'!$B:$B,0))=""),"",INDEX('Controller Prices'!$E:$E,MATCH($B196,'Controller Prices'!$B:$B,0))-$D196)</f>
        <v/>
      </c>
      <c r="G196" s="3" t="n">
        <v>17850</v>
      </c>
      <c r="H196" s="3" t="str">
        <f aca="false">IF(OR($C196="KilnStar",$G196="",INDEX('Controller Prices'!$H:$H,MATCH($B196,'Controller Prices'!$B:$B,0))=""),"",INDEX('Controller Prices'!$H:$H,MATCH($B196,'Controller Prices'!$B:$B,0))-$G196)</f>
        <v/>
      </c>
      <c r="I196" s="3" t="str">
        <f aca="false">IF(OR($G196="",INDEX('Controller Prices'!$I:$I,MATCH($B196,'Controller Prices'!$B:$B,0))=""),"",INDEX('Controller Prices'!$I:$I,MATCH($B196,'Controller Prices'!$B:$B,0))-$G196)</f>
        <v/>
      </c>
    </row>
    <row r="197" customFormat="false" ht="15" hidden="false" customHeight="false" outlineLevel="0" collapsed="false">
      <c r="A197" s="2" t="s">
        <v>213</v>
      </c>
      <c r="B197" s="2" t="s">
        <v>227</v>
      </c>
      <c r="C197" s="2" t="s">
        <v>205</v>
      </c>
      <c r="D197" s="3" t="n">
        <v>31500</v>
      </c>
      <c r="E197" s="3" t="str">
        <f aca="false">IF(OR($C197="KilnStar",$D197="",INDEX('Controller Prices'!$D:$D,MATCH($B197,'Controller Prices'!$B:$B,0))=""),"",INDEX('Controller Prices'!$D:$D,MATCH($B197,'Controller Prices'!$B:$B,0))-$D197)</f>
        <v/>
      </c>
      <c r="F197" s="3" t="str">
        <f aca="false">IF(OR($D197="",INDEX('Controller Prices'!$E:$E,MATCH($B197,'Controller Prices'!$B:$B,0))=""),"",INDEX('Controller Prices'!$E:$E,MATCH($B197,'Controller Prices'!$B:$B,0))-$D197)</f>
        <v/>
      </c>
      <c r="G197" s="3" t="n">
        <v>22050</v>
      </c>
      <c r="H197" s="3" t="str">
        <f aca="false">IF(OR($C197="KilnStar",$G197="",INDEX('Controller Prices'!$H:$H,MATCH($B197,'Controller Prices'!$B:$B,0))=""),"",INDEX('Controller Prices'!$H:$H,MATCH($B197,'Controller Prices'!$B:$B,0))-$G197)</f>
        <v/>
      </c>
      <c r="I197" s="3" t="str">
        <f aca="false">IF(OR($G197="",INDEX('Controller Prices'!$I:$I,MATCH($B197,'Controller Prices'!$B:$B,0))=""),"",INDEX('Controller Prices'!$I:$I,MATCH($B197,'Controller Prices'!$B:$B,0))-$G197)</f>
        <v/>
      </c>
    </row>
    <row r="198" customFormat="false" ht="15" hidden="false" customHeight="false" outlineLevel="0" collapsed="false">
      <c r="A198" s="2" t="s">
        <v>213</v>
      </c>
      <c r="B198" s="2" t="s">
        <v>228</v>
      </c>
      <c r="C198" s="2" t="s">
        <v>205</v>
      </c>
      <c r="D198" s="3" t="n">
        <v>30975</v>
      </c>
      <c r="E198" s="3" t="str">
        <f aca="false">IF(OR($C198="KilnStar",$D198="",INDEX('Controller Prices'!$D:$D,MATCH($B198,'Controller Prices'!$B:$B,0))=""),"",INDEX('Controller Prices'!$D:$D,MATCH($B198,'Controller Prices'!$B:$B,0))-$D198)</f>
        <v/>
      </c>
      <c r="F198" s="3" t="str">
        <f aca="false">IF(OR($D198="",INDEX('Controller Prices'!$E:$E,MATCH($B198,'Controller Prices'!$B:$B,0))=""),"",INDEX('Controller Prices'!$E:$E,MATCH($B198,'Controller Prices'!$B:$B,0))-$D198)</f>
        <v/>
      </c>
      <c r="G198" s="3" t="n">
        <v>21682.5</v>
      </c>
      <c r="H198" s="3" t="str">
        <f aca="false">IF(OR($C198="KilnStar",$G198="",INDEX('Controller Prices'!$H:$H,MATCH($B198,'Controller Prices'!$B:$B,0))=""),"",INDEX('Controller Prices'!$H:$H,MATCH($B198,'Controller Prices'!$B:$B,0))-$G198)</f>
        <v/>
      </c>
      <c r="I198" s="3" t="str">
        <f aca="false">IF(OR($G198="",INDEX('Controller Prices'!$I:$I,MATCH($B198,'Controller Prices'!$B:$B,0))=""),"",INDEX('Controller Prices'!$I:$I,MATCH($B198,'Controller Prices'!$B:$B,0))-$G198)</f>
        <v/>
      </c>
    </row>
    <row r="199" customFormat="false" ht="15" hidden="false" customHeight="false" outlineLevel="0" collapsed="false">
      <c r="A199" s="2" t="s">
        <v>213</v>
      </c>
      <c r="B199" s="2" t="s">
        <v>229</v>
      </c>
      <c r="C199" s="2" t="s">
        <v>205</v>
      </c>
      <c r="D199" s="3" t="n">
        <v>38950</v>
      </c>
      <c r="E199" s="3" t="str">
        <f aca="false">IF(OR($C199="KilnStar",$D199="",INDEX('Controller Prices'!$D:$D,MATCH($B199,'Controller Prices'!$B:$B,0))=""),"",INDEX('Controller Prices'!$D:$D,MATCH($B199,'Controller Prices'!$B:$B,0))-$D199)</f>
        <v/>
      </c>
      <c r="F199" s="3" t="str">
        <f aca="false">IF(OR($D199="",INDEX('Controller Prices'!$E:$E,MATCH($B199,'Controller Prices'!$B:$B,0))=""),"",INDEX('Controller Prices'!$E:$E,MATCH($B199,'Controller Prices'!$B:$B,0))-$D199)</f>
        <v/>
      </c>
      <c r="G199" s="3" t="n">
        <v>27265</v>
      </c>
      <c r="H199" s="3" t="str">
        <f aca="false">IF(OR($C199="KilnStar",$G199="",INDEX('Controller Prices'!$H:$H,MATCH($B199,'Controller Prices'!$B:$B,0))=""),"",INDEX('Controller Prices'!$H:$H,MATCH($B199,'Controller Prices'!$B:$B,0))-$G199)</f>
        <v/>
      </c>
      <c r="I199" s="3" t="str">
        <f aca="false">IF(OR($G199="",INDEX('Controller Prices'!$I:$I,MATCH($B199,'Controller Prices'!$B:$B,0))=""),"",INDEX('Controller Prices'!$I:$I,MATCH($B199,'Controller Prices'!$B:$B,0))-$G199)</f>
        <v/>
      </c>
    </row>
  </sheetData>
  <autoFilter ref="A1:I1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9" min="7" style="0" width="12"/>
    <col collapsed="false" customWidth="true" hidden="false" outlineLevel="0" max="10" min="10" style="0" width="13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11</v>
      </c>
      <c r="D1" s="1" t="s">
        <v>15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235</v>
      </c>
    </row>
    <row r="2" customFormat="false" ht="15" hidden="false" customHeight="false" outlineLevel="0" collapsed="false">
      <c r="A2" s="2" t="s">
        <v>9</v>
      </c>
      <c r="B2" s="2" t="s">
        <v>10</v>
      </c>
      <c r="C2" s="3" t="n">
        <v>1235</v>
      </c>
      <c r="D2" s="2"/>
      <c r="E2" s="2"/>
      <c r="F2" s="2"/>
      <c r="G2" s="3" t="n">
        <v>741</v>
      </c>
      <c r="H2" s="2"/>
      <c r="I2" s="2"/>
      <c r="J2" s="2"/>
    </row>
    <row r="3" customFormat="false" ht="15" hidden="false" customHeight="false" outlineLevel="0" collapsed="false">
      <c r="A3" s="2" t="s">
        <v>9</v>
      </c>
      <c r="B3" s="2" t="s">
        <v>12</v>
      </c>
      <c r="C3" s="3" t="n">
        <v>1365</v>
      </c>
      <c r="D3" s="2"/>
      <c r="E3" s="2"/>
      <c r="F3" s="2"/>
      <c r="G3" s="3" t="n">
        <v>819</v>
      </c>
      <c r="H3" s="2"/>
      <c r="I3" s="2"/>
      <c r="J3" s="2"/>
    </row>
    <row r="4" customFormat="false" ht="15" hidden="false" customHeight="false" outlineLevel="0" collapsed="false">
      <c r="A4" s="2" t="s">
        <v>9</v>
      </c>
      <c r="B4" s="2" t="s">
        <v>13</v>
      </c>
      <c r="C4" s="3" t="n">
        <v>1525</v>
      </c>
      <c r="D4" s="2"/>
      <c r="E4" s="2"/>
      <c r="F4" s="2"/>
      <c r="G4" s="3" t="n">
        <v>915</v>
      </c>
      <c r="H4" s="2"/>
      <c r="I4" s="2"/>
      <c r="J4" s="2"/>
    </row>
    <row r="5" customFormat="false" ht="15" hidden="false" customHeight="false" outlineLevel="0" collapsed="false">
      <c r="A5" s="2" t="s">
        <v>9</v>
      </c>
      <c r="B5" s="2" t="s">
        <v>14</v>
      </c>
      <c r="C5" s="2"/>
      <c r="D5" s="3" t="n">
        <v>1450</v>
      </c>
      <c r="E5" s="3" t="n">
        <v>1600</v>
      </c>
      <c r="F5" s="2"/>
      <c r="G5" s="2"/>
      <c r="H5" s="3" t="n">
        <v>870</v>
      </c>
      <c r="I5" s="3" t="n">
        <v>960</v>
      </c>
      <c r="J5" s="2"/>
    </row>
    <row r="6" customFormat="false" ht="15" hidden="false" customHeight="false" outlineLevel="0" collapsed="false">
      <c r="A6" s="2" t="s">
        <v>9</v>
      </c>
      <c r="B6" s="2" t="s">
        <v>16</v>
      </c>
      <c r="C6" s="3" t="n">
        <v>1700</v>
      </c>
      <c r="D6" s="3" t="n">
        <v>1625</v>
      </c>
      <c r="E6" s="3" t="n">
        <v>1775</v>
      </c>
      <c r="F6" s="2"/>
      <c r="G6" s="3" t="n">
        <v>1020</v>
      </c>
      <c r="H6" s="3" t="n">
        <v>975</v>
      </c>
      <c r="I6" s="3" t="n">
        <v>1065</v>
      </c>
      <c r="J6" s="2"/>
    </row>
    <row r="7" customFormat="false" ht="15" hidden="false" customHeight="false" outlineLevel="0" collapsed="false">
      <c r="A7" s="2" t="s">
        <v>17</v>
      </c>
      <c r="B7" s="2" t="s">
        <v>18</v>
      </c>
      <c r="C7" s="2"/>
      <c r="D7" s="3" t="n">
        <v>1600</v>
      </c>
      <c r="E7" s="3" t="n">
        <v>1725</v>
      </c>
      <c r="F7" s="2"/>
      <c r="G7" s="2"/>
      <c r="H7" s="3" t="n">
        <v>960</v>
      </c>
      <c r="I7" s="3" t="n">
        <v>1035</v>
      </c>
      <c r="J7" s="2"/>
    </row>
    <row r="8" customFormat="false" ht="15" hidden="false" customHeight="false" outlineLevel="0" collapsed="false">
      <c r="A8" s="2" t="s">
        <v>17</v>
      </c>
      <c r="B8" s="2" t="s">
        <v>19</v>
      </c>
      <c r="C8" s="2"/>
      <c r="D8" s="3" t="n">
        <v>1710</v>
      </c>
      <c r="E8" s="3" t="n">
        <v>1830</v>
      </c>
      <c r="F8" s="2"/>
      <c r="G8" s="2"/>
      <c r="H8" s="3" t="n">
        <v>1026</v>
      </c>
      <c r="I8" s="3" t="n">
        <v>1098</v>
      </c>
      <c r="J8" s="2"/>
    </row>
    <row r="9" customFormat="false" ht="15" hidden="false" customHeight="false" outlineLevel="0" collapsed="false">
      <c r="A9" s="2" t="s">
        <v>17</v>
      </c>
      <c r="B9" s="2" t="s">
        <v>20</v>
      </c>
      <c r="C9" s="2"/>
      <c r="D9" s="3" t="n">
        <v>2200</v>
      </c>
      <c r="E9" s="3" t="n">
        <v>2350</v>
      </c>
      <c r="F9" s="2"/>
      <c r="G9" s="2"/>
      <c r="H9" s="3" t="n">
        <v>1320</v>
      </c>
      <c r="I9" s="3" t="n">
        <v>1410</v>
      </c>
      <c r="J9" s="2"/>
    </row>
    <row r="10" customFormat="false" ht="15" hidden="false" customHeight="false" outlineLevel="0" collapsed="false">
      <c r="A10" s="2" t="s">
        <v>17</v>
      </c>
      <c r="B10" s="2" t="s">
        <v>21</v>
      </c>
      <c r="C10" s="2"/>
      <c r="D10" s="3" t="n">
        <v>1450</v>
      </c>
      <c r="E10" s="3" t="n">
        <v>1600</v>
      </c>
      <c r="F10" s="2"/>
      <c r="G10" s="2"/>
      <c r="H10" s="3" t="n">
        <v>870</v>
      </c>
      <c r="I10" s="3" t="n">
        <v>960</v>
      </c>
      <c r="J10" s="2"/>
    </row>
    <row r="11" customFormat="false" ht="15" hidden="false" customHeight="false" outlineLevel="0" collapsed="false">
      <c r="A11" s="2" t="s">
        <v>17</v>
      </c>
      <c r="B11" s="2" t="s">
        <v>22</v>
      </c>
      <c r="C11" s="2"/>
      <c r="D11" s="3" t="n">
        <v>1785</v>
      </c>
      <c r="E11" s="3" t="n">
        <v>1935</v>
      </c>
      <c r="F11" s="2"/>
      <c r="G11" s="2"/>
      <c r="H11" s="3" t="n">
        <v>1071</v>
      </c>
      <c r="I11" s="3" t="n">
        <v>1161</v>
      </c>
      <c r="J11" s="2"/>
    </row>
    <row r="12" customFormat="false" ht="15" hidden="false" customHeight="false" outlineLevel="0" collapsed="false">
      <c r="A12" s="2" t="s">
        <v>17</v>
      </c>
      <c r="B12" s="2" t="s">
        <v>23</v>
      </c>
      <c r="C12" s="2"/>
      <c r="D12" s="3" t="n">
        <v>1965</v>
      </c>
      <c r="E12" s="3" t="n">
        <v>2085</v>
      </c>
      <c r="F12" s="2"/>
      <c r="G12" s="2"/>
      <c r="H12" s="3" t="n">
        <v>1179</v>
      </c>
      <c r="I12" s="3" t="n">
        <v>1251</v>
      </c>
      <c r="J12" s="2"/>
    </row>
    <row r="13" customFormat="false" ht="15" hidden="false" customHeight="false" outlineLevel="0" collapsed="false">
      <c r="A13" s="2" t="s">
        <v>17</v>
      </c>
      <c r="B13" s="2" t="s">
        <v>24</v>
      </c>
      <c r="C13" s="2"/>
      <c r="D13" s="3" t="n">
        <v>2100</v>
      </c>
      <c r="E13" s="3" t="n">
        <v>2220</v>
      </c>
      <c r="F13" s="2"/>
      <c r="G13" s="2"/>
      <c r="H13" s="3" t="n">
        <v>1260</v>
      </c>
      <c r="I13" s="3" t="n">
        <v>1332</v>
      </c>
      <c r="J13" s="2"/>
    </row>
    <row r="14" customFormat="false" ht="15" hidden="false" customHeight="false" outlineLevel="0" collapsed="false">
      <c r="A14" s="2" t="s">
        <v>17</v>
      </c>
      <c r="B14" s="2" t="s">
        <v>25</v>
      </c>
      <c r="C14" s="2"/>
      <c r="D14" s="3" t="n">
        <v>1585</v>
      </c>
      <c r="E14" s="3" t="n">
        <v>1735</v>
      </c>
      <c r="F14" s="2"/>
      <c r="G14" s="2"/>
      <c r="H14" s="3" t="n">
        <v>951</v>
      </c>
      <c r="I14" s="3" t="n">
        <v>1041</v>
      </c>
      <c r="J14" s="2"/>
    </row>
    <row r="15" customFormat="false" ht="15" hidden="false" customHeight="false" outlineLevel="0" collapsed="false">
      <c r="A15" s="2" t="s">
        <v>17</v>
      </c>
      <c r="B15" s="2" t="s">
        <v>26</v>
      </c>
      <c r="C15" s="2"/>
      <c r="D15" s="3" t="n">
        <v>1725</v>
      </c>
      <c r="E15" s="3" t="n">
        <v>1875</v>
      </c>
      <c r="F15" s="2"/>
      <c r="G15" s="2"/>
      <c r="H15" s="3" t="n">
        <v>1035</v>
      </c>
      <c r="I15" s="3" t="n">
        <v>1125</v>
      </c>
      <c r="J15" s="2"/>
    </row>
    <row r="16" customFormat="false" ht="15" hidden="false" customHeight="false" outlineLevel="0" collapsed="false">
      <c r="A16" s="2" t="s">
        <v>17</v>
      </c>
      <c r="B16" s="2" t="s">
        <v>27</v>
      </c>
      <c r="C16" s="2"/>
      <c r="D16" s="3" t="n">
        <v>1850</v>
      </c>
      <c r="E16" s="3" t="n">
        <v>2000</v>
      </c>
      <c r="F16" s="2"/>
      <c r="G16" s="2"/>
      <c r="H16" s="3" t="n">
        <v>1110</v>
      </c>
      <c r="I16" s="3" t="n">
        <v>1200</v>
      </c>
      <c r="J16" s="2"/>
    </row>
    <row r="17" customFormat="false" ht="15" hidden="false" customHeight="false" outlineLevel="0" collapsed="false">
      <c r="A17" s="2" t="s">
        <v>17</v>
      </c>
      <c r="B17" s="2" t="s">
        <v>28</v>
      </c>
      <c r="C17" s="2"/>
      <c r="D17" s="3" t="n">
        <v>2050</v>
      </c>
      <c r="E17" s="3" t="n">
        <v>2200</v>
      </c>
      <c r="F17" s="2"/>
      <c r="G17" s="2"/>
      <c r="H17" s="3" t="n">
        <v>1230</v>
      </c>
      <c r="I17" s="3" t="n">
        <v>1320</v>
      </c>
      <c r="J17" s="2"/>
    </row>
    <row r="18" customFormat="false" ht="15" hidden="false" customHeight="false" outlineLevel="0" collapsed="false">
      <c r="A18" s="2" t="s">
        <v>17</v>
      </c>
      <c r="B18" s="2" t="s">
        <v>29</v>
      </c>
      <c r="C18" s="2"/>
      <c r="D18" s="3" t="n">
        <v>2300</v>
      </c>
      <c r="E18" s="3" t="n">
        <v>2450</v>
      </c>
      <c r="F18" s="2"/>
      <c r="G18" s="2"/>
      <c r="H18" s="3" t="n">
        <v>1380</v>
      </c>
      <c r="I18" s="3" t="n">
        <v>1470</v>
      </c>
      <c r="J18" s="2"/>
    </row>
    <row r="19" customFormat="false" ht="15" hidden="false" customHeight="false" outlineLevel="0" collapsed="false">
      <c r="A19" s="2" t="s">
        <v>17</v>
      </c>
      <c r="B19" s="2" t="s">
        <v>30</v>
      </c>
      <c r="C19" s="2"/>
      <c r="D19" s="3" t="n">
        <v>2500</v>
      </c>
      <c r="E19" s="3" t="n">
        <v>2650</v>
      </c>
      <c r="F19" s="2"/>
      <c r="G19" s="2"/>
      <c r="H19" s="3" t="n">
        <v>1500</v>
      </c>
      <c r="I19" s="3" t="n">
        <v>1590</v>
      </c>
      <c r="J19" s="2"/>
    </row>
    <row r="20" customFormat="false" ht="15" hidden="false" customHeight="false" outlineLevel="0" collapsed="false">
      <c r="A20" s="2" t="s">
        <v>17</v>
      </c>
      <c r="B20" s="2" t="s">
        <v>31</v>
      </c>
      <c r="C20" s="2"/>
      <c r="D20" s="3" t="n">
        <v>2350</v>
      </c>
      <c r="E20" s="3" t="n">
        <v>2500</v>
      </c>
      <c r="F20" s="2"/>
      <c r="G20" s="2"/>
      <c r="H20" s="3" t="n">
        <v>1410</v>
      </c>
      <c r="I20" s="3" t="n">
        <v>1500</v>
      </c>
      <c r="J20" s="2"/>
    </row>
    <row r="21" customFormat="false" ht="15" hidden="false" customHeight="false" outlineLevel="0" collapsed="false">
      <c r="A21" s="2" t="s">
        <v>17</v>
      </c>
      <c r="B21" s="2" t="s">
        <v>32</v>
      </c>
      <c r="C21" s="2"/>
      <c r="D21" s="3" t="n">
        <v>2550</v>
      </c>
      <c r="E21" s="3" t="n">
        <v>2700</v>
      </c>
      <c r="F21" s="2"/>
      <c r="G21" s="2"/>
      <c r="H21" s="3" t="n">
        <v>1530</v>
      </c>
      <c r="I21" s="3" t="n">
        <v>1620</v>
      </c>
      <c r="J21" s="2"/>
    </row>
    <row r="22" customFormat="false" ht="15" hidden="false" customHeight="false" outlineLevel="0" collapsed="false">
      <c r="A22" s="2" t="s">
        <v>17</v>
      </c>
      <c r="B22" s="2" t="s">
        <v>33</v>
      </c>
      <c r="C22" s="2"/>
      <c r="D22" s="3" t="n">
        <v>2800</v>
      </c>
      <c r="E22" s="3" t="n">
        <v>2950</v>
      </c>
      <c r="F22" s="2"/>
      <c r="G22" s="2"/>
      <c r="H22" s="3" t="n">
        <v>1680</v>
      </c>
      <c r="I22" s="3" t="n">
        <v>1770</v>
      </c>
      <c r="J22" s="2"/>
    </row>
    <row r="23" customFormat="false" ht="15" hidden="false" customHeight="false" outlineLevel="0" collapsed="false">
      <c r="A23" s="2" t="s">
        <v>17</v>
      </c>
      <c r="B23" s="2" t="s">
        <v>34</v>
      </c>
      <c r="C23" s="2"/>
      <c r="D23" s="3" t="n">
        <v>2850</v>
      </c>
      <c r="E23" s="3" t="n">
        <v>3000</v>
      </c>
      <c r="F23" s="2"/>
      <c r="G23" s="2"/>
      <c r="H23" s="3" t="n">
        <v>1710</v>
      </c>
      <c r="I23" s="3" t="n">
        <v>1800</v>
      </c>
      <c r="J23" s="2"/>
    </row>
    <row r="24" customFormat="false" ht="15" hidden="false" customHeight="false" outlineLevel="0" collapsed="false">
      <c r="A24" s="2" t="s">
        <v>17</v>
      </c>
      <c r="B24" s="2" t="s">
        <v>35</v>
      </c>
      <c r="C24" s="2"/>
      <c r="D24" s="3" t="n">
        <v>3050</v>
      </c>
      <c r="E24" s="3" t="n">
        <v>3200</v>
      </c>
      <c r="F24" s="2"/>
      <c r="G24" s="2"/>
      <c r="H24" s="3" t="n">
        <v>1830</v>
      </c>
      <c r="I24" s="3" t="n">
        <v>1920</v>
      </c>
      <c r="J24" s="2"/>
    </row>
    <row r="25" customFormat="false" ht="15" hidden="false" customHeight="false" outlineLevel="0" collapsed="false">
      <c r="A25" s="2" t="s">
        <v>17</v>
      </c>
      <c r="B25" s="2" t="s">
        <v>36</v>
      </c>
      <c r="C25" s="2"/>
      <c r="D25" s="3" t="n">
        <v>3295</v>
      </c>
      <c r="E25" s="3" t="n">
        <v>3445</v>
      </c>
      <c r="F25" s="2"/>
      <c r="G25" s="2"/>
      <c r="H25" s="3" t="n">
        <v>1977</v>
      </c>
      <c r="I25" s="3" t="n">
        <v>2067</v>
      </c>
      <c r="J25" s="2"/>
    </row>
    <row r="26" customFormat="false" ht="15" hidden="false" customHeight="false" outlineLevel="0" collapsed="false">
      <c r="A26" s="2" t="s">
        <v>37</v>
      </c>
      <c r="B26" s="2" t="s">
        <v>38</v>
      </c>
      <c r="C26" s="2"/>
      <c r="D26" s="3" t="n">
        <v>1955</v>
      </c>
      <c r="E26" s="3" t="n">
        <v>2105</v>
      </c>
      <c r="F26" s="2"/>
      <c r="G26" s="2"/>
      <c r="H26" s="3" t="n">
        <v>1173</v>
      </c>
      <c r="I26" s="3" t="n">
        <v>1263</v>
      </c>
      <c r="J26" s="2"/>
    </row>
    <row r="27" customFormat="false" ht="15" hidden="false" customHeight="false" outlineLevel="0" collapsed="false">
      <c r="A27" s="2" t="s">
        <v>37</v>
      </c>
      <c r="B27" s="2" t="s">
        <v>39</v>
      </c>
      <c r="C27" s="2"/>
      <c r="D27" s="3" t="n">
        <v>2075</v>
      </c>
      <c r="E27" s="3" t="n">
        <v>2225</v>
      </c>
      <c r="F27" s="2"/>
      <c r="G27" s="2"/>
      <c r="H27" s="3" t="n">
        <v>1245</v>
      </c>
      <c r="I27" s="3" t="n">
        <v>1335</v>
      </c>
      <c r="J27" s="2"/>
    </row>
    <row r="28" customFormat="false" ht="15" hidden="false" customHeight="false" outlineLevel="0" collapsed="false">
      <c r="A28" s="2" t="s">
        <v>37</v>
      </c>
      <c r="B28" s="2" t="s">
        <v>40</v>
      </c>
      <c r="C28" s="2"/>
      <c r="D28" s="3" t="n">
        <v>2230</v>
      </c>
      <c r="E28" s="3" t="n">
        <v>2380</v>
      </c>
      <c r="F28" s="2"/>
      <c r="G28" s="2"/>
      <c r="H28" s="3" t="n">
        <v>1338</v>
      </c>
      <c r="I28" s="3" t="n">
        <v>1428</v>
      </c>
      <c r="J28" s="2"/>
    </row>
    <row r="29" customFormat="false" ht="15" hidden="false" customHeight="false" outlineLevel="0" collapsed="false">
      <c r="A29" s="2" t="s">
        <v>37</v>
      </c>
      <c r="B29" s="2" t="s">
        <v>41</v>
      </c>
      <c r="C29" s="2"/>
      <c r="D29" s="3" t="n">
        <v>2455</v>
      </c>
      <c r="E29" s="3" t="n">
        <v>2605</v>
      </c>
      <c r="F29" s="2"/>
      <c r="G29" s="2"/>
      <c r="H29" s="3" t="n">
        <v>1473</v>
      </c>
      <c r="I29" s="3" t="n">
        <v>1563</v>
      </c>
      <c r="J29" s="2"/>
    </row>
    <row r="30" customFormat="false" ht="15" hidden="false" customHeight="false" outlineLevel="0" collapsed="false">
      <c r="A30" s="2" t="s">
        <v>37</v>
      </c>
      <c r="B30" s="2" t="s">
        <v>42</v>
      </c>
      <c r="C30" s="2"/>
      <c r="D30" s="3" t="n">
        <v>2625</v>
      </c>
      <c r="E30" s="3" t="n">
        <v>2775</v>
      </c>
      <c r="F30" s="2"/>
      <c r="G30" s="2"/>
      <c r="H30" s="3" t="n">
        <v>1575</v>
      </c>
      <c r="I30" s="3" t="n">
        <v>1665</v>
      </c>
      <c r="J30" s="2"/>
    </row>
    <row r="31" customFormat="false" ht="15" hidden="false" customHeight="false" outlineLevel="0" collapsed="false">
      <c r="A31" s="2" t="s">
        <v>37</v>
      </c>
      <c r="B31" s="2" t="s">
        <v>43</v>
      </c>
      <c r="C31" s="2"/>
      <c r="D31" s="3" t="n">
        <v>3100</v>
      </c>
      <c r="E31" s="3" t="n">
        <v>3250</v>
      </c>
      <c r="F31" s="2"/>
      <c r="G31" s="2"/>
      <c r="H31" s="3" t="n">
        <v>1860</v>
      </c>
      <c r="I31" s="3" t="n">
        <v>1950</v>
      </c>
      <c r="J31" s="2"/>
    </row>
    <row r="32" customFormat="false" ht="15" hidden="false" customHeight="false" outlineLevel="0" collapsed="false">
      <c r="A32" s="2" t="s">
        <v>37</v>
      </c>
      <c r="B32" s="2" t="s">
        <v>44</v>
      </c>
      <c r="C32" s="2"/>
      <c r="D32" s="3" t="n">
        <v>3300</v>
      </c>
      <c r="E32" s="3" t="n">
        <v>3450</v>
      </c>
      <c r="F32" s="2"/>
      <c r="G32" s="2"/>
      <c r="H32" s="3" t="n">
        <v>1980</v>
      </c>
      <c r="I32" s="3" t="n">
        <v>2070</v>
      </c>
      <c r="J32" s="2"/>
    </row>
    <row r="33" customFormat="false" ht="15" hidden="false" customHeight="false" outlineLevel="0" collapsed="false">
      <c r="A33" s="2" t="s">
        <v>45</v>
      </c>
      <c r="B33" s="2" t="s">
        <v>46</v>
      </c>
      <c r="C33" s="2"/>
      <c r="D33" s="3" t="n">
        <v>2025</v>
      </c>
      <c r="E33" s="3" t="n">
        <v>2175</v>
      </c>
      <c r="F33" s="2"/>
      <c r="G33" s="2"/>
      <c r="H33" s="3" t="n">
        <v>1215</v>
      </c>
      <c r="I33" s="3" t="n">
        <v>1305</v>
      </c>
      <c r="J33" s="2"/>
    </row>
    <row r="34" customFormat="false" ht="15" hidden="false" customHeight="false" outlineLevel="0" collapsed="false">
      <c r="A34" s="2" t="s">
        <v>45</v>
      </c>
      <c r="B34" s="2" t="s">
        <v>47</v>
      </c>
      <c r="C34" s="2"/>
      <c r="D34" s="3" t="n">
        <v>2200</v>
      </c>
      <c r="E34" s="3" t="n">
        <v>2350</v>
      </c>
      <c r="F34" s="2"/>
      <c r="G34" s="2"/>
      <c r="H34" s="3" t="n">
        <v>1320</v>
      </c>
      <c r="I34" s="3" t="n">
        <v>1410</v>
      </c>
      <c r="J34" s="2"/>
    </row>
    <row r="35" customFormat="false" ht="15" hidden="false" customHeight="false" outlineLevel="0" collapsed="false">
      <c r="A35" s="2" t="s">
        <v>45</v>
      </c>
      <c r="B35" s="2" t="s">
        <v>48</v>
      </c>
      <c r="C35" s="2"/>
      <c r="D35" s="3" t="n">
        <v>2715</v>
      </c>
      <c r="E35" s="3" t="n">
        <v>2865</v>
      </c>
      <c r="F35" s="2"/>
      <c r="G35" s="2"/>
      <c r="H35" s="3" t="n">
        <v>1629</v>
      </c>
      <c r="I35" s="3" t="n">
        <v>1719</v>
      </c>
      <c r="J35" s="2"/>
    </row>
    <row r="36" customFormat="false" ht="15" hidden="false" customHeight="false" outlineLevel="0" collapsed="false">
      <c r="A36" s="2" t="s">
        <v>49</v>
      </c>
      <c r="B36" s="2" t="s">
        <v>50</v>
      </c>
      <c r="C36" s="2"/>
      <c r="D36" s="3" t="n">
        <v>1825</v>
      </c>
      <c r="E36" s="3" t="n">
        <v>1975</v>
      </c>
      <c r="F36" s="2"/>
      <c r="G36" s="2"/>
      <c r="H36" s="3" t="n">
        <v>1095</v>
      </c>
      <c r="I36" s="3" t="n">
        <v>1185</v>
      </c>
      <c r="J36" s="2"/>
    </row>
    <row r="37" customFormat="false" ht="15" hidden="false" customHeight="false" outlineLevel="0" collapsed="false">
      <c r="A37" s="2" t="s">
        <v>49</v>
      </c>
      <c r="B37" s="2" t="s">
        <v>51</v>
      </c>
      <c r="C37" s="2"/>
      <c r="D37" s="3" t="n">
        <v>2050</v>
      </c>
      <c r="E37" s="3" t="n">
        <v>2200</v>
      </c>
      <c r="F37" s="2"/>
      <c r="G37" s="2"/>
      <c r="H37" s="3" t="n">
        <v>1230</v>
      </c>
      <c r="I37" s="3" t="n">
        <v>1320</v>
      </c>
      <c r="J37" s="2"/>
    </row>
    <row r="38" customFormat="false" ht="15" hidden="false" customHeight="false" outlineLevel="0" collapsed="false">
      <c r="A38" s="2" t="s">
        <v>49</v>
      </c>
      <c r="B38" s="2" t="s">
        <v>52</v>
      </c>
      <c r="C38" s="2"/>
      <c r="D38" s="3" t="n">
        <v>2300</v>
      </c>
      <c r="E38" s="3" t="n">
        <v>2450</v>
      </c>
      <c r="F38" s="2"/>
      <c r="G38" s="2"/>
      <c r="H38" s="3" t="n">
        <v>1380</v>
      </c>
      <c r="I38" s="3" t="n">
        <v>1470</v>
      </c>
      <c r="J38" s="2"/>
    </row>
    <row r="39" customFormat="false" ht="15" hidden="false" customHeight="false" outlineLevel="0" collapsed="false">
      <c r="A39" s="2" t="s">
        <v>49</v>
      </c>
      <c r="B39" s="2" t="s">
        <v>53</v>
      </c>
      <c r="C39" s="2"/>
      <c r="D39" s="3" t="n">
        <v>2500</v>
      </c>
      <c r="E39" s="3" t="n">
        <v>2650</v>
      </c>
      <c r="F39" s="2"/>
      <c r="G39" s="2"/>
      <c r="H39" s="3" t="n">
        <v>1500</v>
      </c>
      <c r="I39" s="3" t="n">
        <v>1590</v>
      </c>
      <c r="J39" s="2"/>
    </row>
    <row r="40" customFormat="false" ht="15" hidden="false" customHeight="false" outlineLevel="0" collapsed="false">
      <c r="A40" s="2" t="s">
        <v>49</v>
      </c>
      <c r="B40" s="2" t="s">
        <v>54</v>
      </c>
      <c r="C40" s="2"/>
      <c r="D40" s="3" t="n">
        <v>2730</v>
      </c>
      <c r="E40" s="3" t="n">
        <v>2880</v>
      </c>
      <c r="F40" s="2"/>
      <c r="G40" s="2"/>
      <c r="H40" s="3" t="n">
        <v>1638</v>
      </c>
      <c r="I40" s="3" t="n">
        <v>1728</v>
      </c>
      <c r="J40" s="2"/>
    </row>
    <row r="41" customFormat="false" ht="15" hidden="false" customHeight="false" outlineLevel="0" collapsed="false">
      <c r="A41" s="2" t="s">
        <v>49</v>
      </c>
      <c r="B41" s="2" t="s">
        <v>55</v>
      </c>
      <c r="C41" s="2"/>
      <c r="D41" s="3" t="n">
        <v>3100</v>
      </c>
      <c r="E41" s="3" t="n">
        <v>3250</v>
      </c>
      <c r="F41" s="2"/>
      <c r="G41" s="2"/>
      <c r="H41" s="3" t="n">
        <v>1860</v>
      </c>
      <c r="I41" s="3" t="n">
        <v>1950</v>
      </c>
      <c r="J41" s="2"/>
    </row>
    <row r="42" customFormat="false" ht="15" hidden="false" customHeight="false" outlineLevel="0" collapsed="false">
      <c r="A42" s="2" t="s">
        <v>56</v>
      </c>
      <c r="B42" s="2" t="s">
        <v>57</v>
      </c>
      <c r="C42" s="2"/>
      <c r="D42" s="3" t="n">
        <v>2850</v>
      </c>
      <c r="E42" s="3" t="n">
        <v>3000</v>
      </c>
      <c r="F42" s="2"/>
      <c r="G42" s="2"/>
      <c r="H42" s="3" t="n">
        <v>1710</v>
      </c>
      <c r="I42" s="3" t="n">
        <v>1800</v>
      </c>
      <c r="J42" s="2"/>
    </row>
    <row r="43" customFormat="false" ht="15" hidden="false" customHeight="false" outlineLevel="0" collapsed="false">
      <c r="A43" s="2" t="s">
        <v>56</v>
      </c>
      <c r="B43" s="2" t="s">
        <v>58</v>
      </c>
      <c r="C43" s="2"/>
      <c r="D43" s="3" t="n">
        <v>3150</v>
      </c>
      <c r="E43" s="3" t="n">
        <v>3300</v>
      </c>
      <c r="F43" s="2"/>
      <c r="G43" s="2"/>
      <c r="H43" s="3" t="n">
        <v>1890</v>
      </c>
      <c r="I43" s="3" t="n">
        <v>1980</v>
      </c>
      <c r="J43" s="2"/>
    </row>
    <row r="44" customFormat="false" ht="15" hidden="false" customHeight="false" outlineLevel="0" collapsed="false">
      <c r="A44" s="2" t="s">
        <v>56</v>
      </c>
      <c r="B44" s="2" t="s">
        <v>59</v>
      </c>
      <c r="C44" s="2"/>
      <c r="D44" s="3" t="n">
        <v>3600</v>
      </c>
      <c r="E44" s="3" t="n">
        <v>3750</v>
      </c>
      <c r="F44" s="2"/>
      <c r="G44" s="2"/>
      <c r="H44" s="3" t="n">
        <v>2160</v>
      </c>
      <c r="I44" s="3" t="n">
        <v>2250</v>
      </c>
      <c r="J44" s="2"/>
    </row>
    <row r="45" customFormat="false" ht="15" hidden="false" customHeight="false" outlineLevel="0" collapsed="false">
      <c r="A45" s="2" t="s">
        <v>56</v>
      </c>
      <c r="B45" s="2" t="s">
        <v>60</v>
      </c>
      <c r="C45" s="2"/>
      <c r="D45" s="3" t="n">
        <v>3300</v>
      </c>
      <c r="E45" s="3" t="n">
        <v>3450</v>
      </c>
      <c r="F45" s="2"/>
      <c r="G45" s="2"/>
      <c r="H45" s="3" t="n">
        <v>1980</v>
      </c>
      <c r="I45" s="3" t="n">
        <v>2070</v>
      </c>
      <c r="J45" s="2"/>
    </row>
    <row r="46" customFormat="false" ht="15" hidden="false" customHeight="false" outlineLevel="0" collapsed="false">
      <c r="A46" s="2" t="s">
        <v>56</v>
      </c>
      <c r="B46" s="2" t="s">
        <v>61</v>
      </c>
      <c r="C46" s="2"/>
      <c r="D46" s="3" t="n">
        <v>3600</v>
      </c>
      <c r="E46" s="3" t="n">
        <v>3750</v>
      </c>
      <c r="F46" s="2"/>
      <c r="G46" s="2"/>
      <c r="H46" s="3" t="n">
        <v>2160</v>
      </c>
      <c r="I46" s="3" t="n">
        <v>2250</v>
      </c>
      <c r="J46" s="2"/>
    </row>
    <row r="47" customFormat="false" ht="15" hidden="false" customHeight="false" outlineLevel="0" collapsed="false">
      <c r="A47" s="2" t="s">
        <v>62</v>
      </c>
      <c r="B47" s="2" t="s">
        <v>63</v>
      </c>
      <c r="C47" s="2"/>
      <c r="D47" s="3" t="n">
        <v>2500</v>
      </c>
      <c r="E47" s="3" t="n">
        <v>2650</v>
      </c>
      <c r="F47" s="2"/>
      <c r="G47" s="2"/>
      <c r="H47" s="3" t="n">
        <v>1500</v>
      </c>
      <c r="I47" s="3" t="n">
        <v>1590</v>
      </c>
      <c r="J47" s="2"/>
    </row>
    <row r="48" customFormat="false" ht="15" hidden="false" customHeight="false" outlineLevel="0" collapsed="false">
      <c r="A48" s="2" t="s">
        <v>62</v>
      </c>
      <c r="B48" s="2" t="s">
        <v>64</v>
      </c>
      <c r="C48" s="2"/>
      <c r="D48" s="3" t="n">
        <v>2775</v>
      </c>
      <c r="E48" s="3" t="n">
        <v>2925</v>
      </c>
      <c r="F48" s="2"/>
      <c r="G48" s="2"/>
      <c r="H48" s="3" t="n">
        <v>1665</v>
      </c>
      <c r="I48" s="3" t="n">
        <v>1455</v>
      </c>
      <c r="J48" s="2"/>
    </row>
    <row r="49" customFormat="false" ht="15" hidden="false" customHeight="false" outlineLevel="0" collapsed="false">
      <c r="A49" s="2" t="s">
        <v>62</v>
      </c>
      <c r="B49" s="2" t="s">
        <v>65</v>
      </c>
      <c r="C49" s="2"/>
      <c r="D49" s="3" t="n">
        <v>2925</v>
      </c>
      <c r="E49" s="3" t="n">
        <v>3075</v>
      </c>
      <c r="F49" s="2"/>
      <c r="G49" s="2"/>
      <c r="H49" s="3" t="n">
        <v>1755</v>
      </c>
      <c r="I49" s="3" t="n">
        <v>1845</v>
      </c>
      <c r="J49" s="2"/>
    </row>
    <row r="50" customFormat="false" ht="15" hidden="false" customHeight="false" outlineLevel="0" collapsed="false">
      <c r="A50" s="2" t="s">
        <v>62</v>
      </c>
      <c r="B50" s="2" t="s">
        <v>66</v>
      </c>
      <c r="C50" s="2"/>
      <c r="D50" s="3" t="n">
        <v>3200</v>
      </c>
      <c r="E50" s="3" t="n">
        <v>3350</v>
      </c>
      <c r="F50" s="2"/>
      <c r="G50" s="2"/>
      <c r="H50" s="3" t="n">
        <v>1920</v>
      </c>
      <c r="I50" s="3" t="n">
        <v>2010</v>
      </c>
      <c r="J50" s="2"/>
    </row>
    <row r="51" customFormat="false" ht="15" hidden="false" customHeight="false" outlineLevel="0" collapsed="false">
      <c r="A51" s="2" t="s">
        <v>62</v>
      </c>
      <c r="B51" s="2" t="s">
        <v>67</v>
      </c>
      <c r="C51" s="2"/>
      <c r="D51" s="3" t="n">
        <v>3350</v>
      </c>
      <c r="E51" s="3" t="n">
        <v>3500</v>
      </c>
      <c r="F51" s="2"/>
      <c r="G51" s="2"/>
      <c r="H51" s="3" t="n">
        <v>2010</v>
      </c>
      <c r="I51" s="3" t="n">
        <v>2100</v>
      </c>
      <c r="J51" s="2"/>
    </row>
    <row r="52" customFormat="false" ht="15" hidden="false" customHeight="false" outlineLevel="0" collapsed="false">
      <c r="A52" s="2" t="s">
        <v>62</v>
      </c>
      <c r="B52" s="2" t="s">
        <v>68</v>
      </c>
      <c r="C52" s="2"/>
      <c r="D52" s="3" t="n">
        <v>3390</v>
      </c>
      <c r="E52" s="3" t="n">
        <v>3540</v>
      </c>
      <c r="F52" s="2"/>
      <c r="G52" s="2"/>
      <c r="H52" s="3" t="n">
        <v>2034</v>
      </c>
      <c r="I52" s="3" t="n">
        <v>2124</v>
      </c>
      <c r="J52" s="2"/>
    </row>
    <row r="53" customFormat="false" ht="15" hidden="false" customHeight="false" outlineLevel="0" collapsed="false">
      <c r="A53" s="2" t="s">
        <v>62</v>
      </c>
      <c r="B53" s="2" t="s">
        <v>69</v>
      </c>
      <c r="C53" s="2"/>
      <c r="D53" s="3" t="n">
        <v>3625</v>
      </c>
      <c r="E53" s="3" t="n">
        <v>3775</v>
      </c>
      <c r="F53" s="2"/>
      <c r="G53" s="2"/>
      <c r="H53" s="3" t="n">
        <v>2175</v>
      </c>
      <c r="I53" s="3" t="n">
        <v>2265</v>
      </c>
      <c r="J53" s="2"/>
    </row>
    <row r="54" customFormat="false" ht="15" hidden="false" customHeight="false" outlineLevel="0" collapsed="false">
      <c r="A54" s="2" t="s">
        <v>70</v>
      </c>
      <c r="B54" s="2" t="s">
        <v>71</v>
      </c>
      <c r="C54" s="2"/>
      <c r="D54" s="3" t="n">
        <v>3925</v>
      </c>
      <c r="E54" s="3" t="n">
        <v>4075</v>
      </c>
      <c r="F54" s="2"/>
      <c r="G54" s="2"/>
      <c r="H54" s="3" t="n">
        <v>2355</v>
      </c>
      <c r="I54" s="3" t="n">
        <v>2445</v>
      </c>
      <c r="J54" s="2"/>
    </row>
    <row r="55" customFormat="false" ht="15" hidden="false" customHeight="false" outlineLevel="0" collapsed="false">
      <c r="A55" s="2" t="s">
        <v>70</v>
      </c>
      <c r="B55" s="2" t="s">
        <v>72</v>
      </c>
      <c r="C55" s="2"/>
      <c r="D55" s="3" t="n">
        <v>4000</v>
      </c>
      <c r="E55" s="3" t="n">
        <v>4150</v>
      </c>
      <c r="F55" s="2"/>
      <c r="G55" s="2"/>
      <c r="H55" s="2"/>
      <c r="I55" s="2"/>
      <c r="J55" s="2"/>
    </row>
    <row r="56" customFormat="false" ht="15" hidden="false" customHeight="false" outlineLevel="0" collapsed="false">
      <c r="A56" s="2" t="s">
        <v>70</v>
      </c>
      <c r="B56" s="2" t="s">
        <v>73</v>
      </c>
      <c r="C56" s="2"/>
      <c r="D56" s="3" t="n">
        <v>4610</v>
      </c>
      <c r="E56" s="3" t="n">
        <v>4760</v>
      </c>
      <c r="F56" s="2"/>
      <c r="G56" s="2"/>
      <c r="H56" s="3" t="n">
        <v>2766</v>
      </c>
      <c r="I56" s="3" t="n">
        <v>2856</v>
      </c>
      <c r="J56" s="2"/>
    </row>
    <row r="57" customFormat="false" ht="15" hidden="false" customHeight="false" outlineLevel="0" collapsed="false">
      <c r="A57" s="2" t="s">
        <v>70</v>
      </c>
      <c r="B57" s="2" t="s">
        <v>74</v>
      </c>
      <c r="C57" s="2"/>
      <c r="D57" s="3" t="n">
        <v>4835</v>
      </c>
      <c r="E57" s="3" t="n">
        <v>4995</v>
      </c>
      <c r="F57" s="2"/>
      <c r="G57" s="2"/>
      <c r="H57" s="3" t="n">
        <v>2901</v>
      </c>
      <c r="I57" s="3" t="n">
        <v>2997</v>
      </c>
      <c r="J57" s="2"/>
    </row>
    <row r="58" customFormat="false" ht="15" hidden="false" customHeight="false" outlineLevel="0" collapsed="false">
      <c r="A58" s="2" t="s">
        <v>70</v>
      </c>
      <c r="B58" s="2" t="s">
        <v>75</v>
      </c>
      <c r="C58" s="2"/>
      <c r="D58" s="3" t="n">
        <v>5100</v>
      </c>
      <c r="E58" s="3" t="n">
        <v>5250</v>
      </c>
      <c r="F58" s="2"/>
      <c r="G58" s="2"/>
      <c r="H58" s="3" t="n">
        <v>3060</v>
      </c>
      <c r="I58" s="3" t="n">
        <v>3150</v>
      </c>
      <c r="J58" s="2"/>
    </row>
    <row r="59" customFormat="false" ht="15" hidden="false" customHeight="false" outlineLevel="0" collapsed="false">
      <c r="A59" s="2" t="s">
        <v>70</v>
      </c>
      <c r="B59" s="2" t="s">
        <v>76</v>
      </c>
      <c r="C59" s="2"/>
      <c r="D59" s="3" t="n">
        <v>5300</v>
      </c>
      <c r="E59" s="3" t="n">
        <v>5450</v>
      </c>
      <c r="F59" s="2"/>
      <c r="G59" s="2"/>
      <c r="H59" s="3" t="n">
        <v>3180</v>
      </c>
      <c r="I59" s="3" t="n">
        <v>3270</v>
      </c>
      <c r="J59" s="2"/>
    </row>
    <row r="60" customFormat="false" ht="15" hidden="false" customHeight="false" outlineLevel="0" collapsed="false">
      <c r="A60" s="2" t="s">
        <v>77</v>
      </c>
      <c r="B60" s="2" t="s">
        <v>78</v>
      </c>
      <c r="C60" s="2"/>
      <c r="D60" s="3" t="n">
        <v>3700</v>
      </c>
      <c r="E60" s="3" t="n">
        <v>3850</v>
      </c>
      <c r="F60" s="2"/>
      <c r="G60" s="2"/>
      <c r="H60" s="3" t="n">
        <v>2220</v>
      </c>
      <c r="I60" s="3" t="n">
        <v>2310</v>
      </c>
      <c r="J60" s="2"/>
    </row>
    <row r="61" customFormat="false" ht="15" hidden="false" customHeight="false" outlineLevel="0" collapsed="false">
      <c r="A61" s="2" t="s">
        <v>77</v>
      </c>
      <c r="B61" s="2" t="s">
        <v>79</v>
      </c>
      <c r="C61" s="2"/>
      <c r="D61" s="3" t="n">
        <v>3950</v>
      </c>
      <c r="E61" s="3" t="n">
        <v>4100</v>
      </c>
      <c r="F61" s="2"/>
      <c r="G61" s="2"/>
      <c r="H61" s="3" t="n">
        <v>2370</v>
      </c>
      <c r="I61" s="3" t="n">
        <v>2460</v>
      </c>
      <c r="J61" s="2"/>
    </row>
    <row r="62" customFormat="false" ht="15" hidden="false" customHeight="false" outlineLevel="0" collapsed="false">
      <c r="A62" s="2" t="s">
        <v>77</v>
      </c>
      <c r="B62" s="2" t="s">
        <v>80</v>
      </c>
      <c r="C62" s="2"/>
      <c r="D62" s="3" t="n">
        <v>4050</v>
      </c>
      <c r="E62" s="3" t="n">
        <v>4200</v>
      </c>
      <c r="F62" s="2"/>
      <c r="G62" s="2"/>
      <c r="H62" s="3" t="n">
        <v>2430</v>
      </c>
      <c r="I62" s="3" t="n">
        <v>2520</v>
      </c>
      <c r="J62" s="2"/>
    </row>
    <row r="63" customFormat="false" ht="15" hidden="false" customHeight="false" outlineLevel="0" collapsed="false">
      <c r="A63" s="2" t="s">
        <v>77</v>
      </c>
      <c r="B63" s="2" t="s">
        <v>81</v>
      </c>
      <c r="C63" s="2"/>
      <c r="D63" s="3" t="n">
        <v>4400</v>
      </c>
      <c r="E63" s="3" t="n">
        <v>4550</v>
      </c>
      <c r="F63" s="2"/>
      <c r="G63" s="2"/>
      <c r="H63" s="3" t="n">
        <v>2640</v>
      </c>
      <c r="I63" s="3" t="n">
        <v>2730</v>
      </c>
      <c r="J63" s="2"/>
    </row>
    <row r="64" customFormat="false" ht="15" hidden="false" customHeight="false" outlineLevel="0" collapsed="false">
      <c r="A64" s="2" t="s">
        <v>77</v>
      </c>
      <c r="B64" s="2" t="s">
        <v>82</v>
      </c>
      <c r="C64" s="2"/>
      <c r="D64" s="3" t="n">
        <v>3950</v>
      </c>
      <c r="E64" s="3" t="n">
        <v>4100</v>
      </c>
      <c r="F64" s="2"/>
      <c r="G64" s="2"/>
      <c r="H64" s="3" t="n">
        <v>2370</v>
      </c>
      <c r="I64" s="3" t="n">
        <v>2460</v>
      </c>
      <c r="J64" s="2"/>
    </row>
    <row r="65" customFormat="false" ht="15" hidden="false" customHeight="false" outlineLevel="0" collapsed="false">
      <c r="A65" s="2" t="s">
        <v>77</v>
      </c>
      <c r="B65" s="2" t="s">
        <v>83</v>
      </c>
      <c r="C65" s="2"/>
      <c r="D65" s="3" t="n">
        <v>4250</v>
      </c>
      <c r="E65" s="3" t="n">
        <v>4400</v>
      </c>
      <c r="F65" s="2"/>
      <c r="G65" s="2"/>
      <c r="H65" s="3" t="n">
        <v>2550</v>
      </c>
      <c r="I65" s="3" t="n">
        <v>2640</v>
      </c>
      <c r="J65" s="2"/>
    </row>
    <row r="66" customFormat="false" ht="15" hidden="false" customHeight="false" outlineLevel="0" collapsed="false">
      <c r="A66" s="2" t="s">
        <v>77</v>
      </c>
      <c r="B66" s="2" t="s">
        <v>84</v>
      </c>
      <c r="C66" s="2"/>
      <c r="D66" s="3" t="n">
        <v>4625</v>
      </c>
      <c r="E66" s="3" t="n">
        <v>4775</v>
      </c>
      <c r="F66" s="2"/>
      <c r="G66" s="2"/>
      <c r="H66" s="3" t="n">
        <v>2775</v>
      </c>
      <c r="I66" s="3" t="n">
        <v>2865</v>
      </c>
      <c r="J66" s="2"/>
    </row>
    <row r="67" customFormat="false" ht="15" hidden="false" customHeight="false" outlineLevel="0" collapsed="false">
      <c r="A67" s="2" t="s">
        <v>77</v>
      </c>
      <c r="B67" s="2" t="s">
        <v>85</v>
      </c>
      <c r="C67" s="2"/>
      <c r="D67" s="3" t="n">
        <v>4950</v>
      </c>
      <c r="E67" s="3" t="n">
        <v>5100</v>
      </c>
      <c r="F67" s="2"/>
      <c r="G67" s="2"/>
      <c r="H67" s="3" t="n">
        <v>2970</v>
      </c>
      <c r="I67" s="3" t="n">
        <v>3060</v>
      </c>
      <c r="J67" s="2"/>
    </row>
    <row r="68" customFormat="false" ht="15" hidden="false" customHeight="false" outlineLevel="0" collapsed="false">
      <c r="A68" s="2" t="s">
        <v>77</v>
      </c>
      <c r="B68" s="2" t="s">
        <v>86</v>
      </c>
      <c r="C68" s="2"/>
      <c r="D68" s="3" t="n">
        <v>5600</v>
      </c>
      <c r="E68" s="3" t="n">
        <v>5750</v>
      </c>
      <c r="F68" s="2"/>
      <c r="G68" s="2"/>
      <c r="H68" s="3" t="n">
        <v>3360</v>
      </c>
      <c r="I68" s="3" t="n">
        <v>3450</v>
      </c>
      <c r="J68" s="2"/>
    </row>
    <row r="69" customFormat="false" ht="15" hidden="false" customHeight="false" outlineLevel="0" collapsed="false">
      <c r="A69" s="2" t="s">
        <v>87</v>
      </c>
      <c r="B69" s="2" t="s">
        <v>88</v>
      </c>
      <c r="C69" s="2"/>
      <c r="D69" s="3" t="n">
        <v>4850</v>
      </c>
      <c r="E69" s="3" t="n">
        <v>5000</v>
      </c>
      <c r="F69" s="2"/>
      <c r="G69" s="2"/>
      <c r="H69" s="3" t="n">
        <v>2910</v>
      </c>
      <c r="I69" s="3" t="n">
        <v>3000</v>
      </c>
      <c r="J69" s="2"/>
    </row>
    <row r="70" customFormat="false" ht="15" hidden="false" customHeight="false" outlineLevel="0" collapsed="false">
      <c r="A70" s="2" t="s">
        <v>87</v>
      </c>
      <c r="B70" s="2" t="s">
        <v>89</v>
      </c>
      <c r="C70" s="2"/>
      <c r="D70" s="3" t="n">
        <v>5270</v>
      </c>
      <c r="E70" s="3" t="n">
        <v>5420</v>
      </c>
      <c r="F70" s="2"/>
      <c r="G70" s="2"/>
      <c r="H70" s="3" t="n">
        <v>3162</v>
      </c>
      <c r="I70" s="3" t="n">
        <v>3252</v>
      </c>
      <c r="J70" s="2"/>
    </row>
    <row r="71" customFormat="false" ht="15" hidden="false" customHeight="false" outlineLevel="0" collapsed="false">
      <c r="A71" s="2" t="s">
        <v>87</v>
      </c>
      <c r="B71" s="2" t="s">
        <v>90</v>
      </c>
      <c r="C71" s="2"/>
      <c r="D71" s="3" t="n">
        <v>5775</v>
      </c>
      <c r="E71" s="3" t="n">
        <v>5925</v>
      </c>
      <c r="F71" s="2"/>
      <c r="G71" s="2"/>
      <c r="H71" s="3" t="n">
        <v>3465</v>
      </c>
      <c r="I71" s="3" t="n">
        <v>3555</v>
      </c>
      <c r="J71" s="2"/>
    </row>
    <row r="72" customFormat="false" ht="15" hidden="false" customHeight="false" outlineLevel="0" collapsed="false">
      <c r="A72" s="2" t="s">
        <v>87</v>
      </c>
      <c r="B72" s="2" t="s">
        <v>91</v>
      </c>
      <c r="C72" s="2"/>
      <c r="D72" s="3" t="n">
        <v>5870</v>
      </c>
      <c r="E72" s="3" t="n">
        <v>6020</v>
      </c>
      <c r="F72" s="2"/>
      <c r="G72" s="2"/>
      <c r="H72" s="3" t="n">
        <v>3522</v>
      </c>
      <c r="I72" s="3" t="n">
        <v>3612</v>
      </c>
      <c r="J72" s="2"/>
    </row>
    <row r="73" customFormat="false" ht="15" hidden="false" customHeight="false" outlineLevel="0" collapsed="false">
      <c r="A73" s="2" t="s">
        <v>87</v>
      </c>
      <c r="B73" s="2" t="s">
        <v>92</v>
      </c>
      <c r="C73" s="2"/>
      <c r="D73" s="3" t="n">
        <v>6450</v>
      </c>
      <c r="E73" s="3" t="n">
        <v>6600</v>
      </c>
      <c r="F73" s="2"/>
      <c r="G73" s="2"/>
      <c r="H73" s="3" t="n">
        <v>3870</v>
      </c>
      <c r="I73" s="3" t="n">
        <v>3960</v>
      </c>
      <c r="J73" s="2"/>
    </row>
    <row r="74" customFormat="false" ht="15" hidden="false" customHeight="false" outlineLevel="0" collapsed="false">
      <c r="A74" s="2" t="s">
        <v>93</v>
      </c>
      <c r="B74" s="2" t="s">
        <v>94</v>
      </c>
      <c r="C74" s="2"/>
      <c r="D74" s="3" t="n">
        <v>4500</v>
      </c>
      <c r="E74" s="3" t="n">
        <v>4650</v>
      </c>
      <c r="F74" s="2"/>
      <c r="G74" s="2"/>
      <c r="H74" s="3" t="n">
        <v>3240</v>
      </c>
      <c r="I74" s="3" t="n">
        <v>2790</v>
      </c>
      <c r="J74" s="2"/>
    </row>
    <row r="75" customFormat="false" ht="15" hidden="false" customHeight="false" outlineLevel="0" collapsed="false">
      <c r="A75" s="2" t="s">
        <v>93</v>
      </c>
      <c r="B75" s="2" t="s">
        <v>95</v>
      </c>
      <c r="C75" s="2"/>
      <c r="D75" s="3" t="n">
        <v>5250</v>
      </c>
      <c r="E75" s="3" t="n">
        <v>5400</v>
      </c>
      <c r="F75" s="2"/>
      <c r="G75" s="2"/>
      <c r="H75" s="3" t="n">
        <v>3150</v>
      </c>
      <c r="I75" s="3" t="n">
        <v>3240</v>
      </c>
      <c r="J75" s="2"/>
    </row>
    <row r="76" customFormat="false" ht="15" hidden="false" customHeight="false" outlineLevel="0" collapsed="false">
      <c r="A76" s="2" t="s">
        <v>93</v>
      </c>
      <c r="B76" s="2" t="s">
        <v>96</v>
      </c>
      <c r="C76" s="2"/>
      <c r="D76" s="3" t="n">
        <v>5400</v>
      </c>
      <c r="E76" s="3" t="n">
        <v>5500</v>
      </c>
      <c r="F76" s="2"/>
      <c r="G76" s="2"/>
      <c r="H76" s="3" t="n">
        <v>3240</v>
      </c>
      <c r="I76" s="3" t="n">
        <v>3300</v>
      </c>
      <c r="J76" s="2"/>
    </row>
    <row r="77" customFormat="false" ht="15" hidden="false" customHeight="false" outlineLevel="0" collapsed="false">
      <c r="A77" s="2" t="s">
        <v>93</v>
      </c>
      <c r="B77" s="2" t="s">
        <v>97</v>
      </c>
      <c r="C77" s="2"/>
      <c r="D77" s="3" t="n">
        <v>5750</v>
      </c>
      <c r="E77" s="3" t="n">
        <v>5900</v>
      </c>
      <c r="F77" s="2"/>
      <c r="G77" s="2"/>
      <c r="H77" s="3" t="n">
        <v>3450</v>
      </c>
      <c r="I77" s="3" t="n">
        <v>3540</v>
      </c>
      <c r="J77" s="2"/>
    </row>
    <row r="78" customFormat="false" ht="15" hidden="false" customHeight="false" outlineLevel="0" collapsed="false">
      <c r="A78" s="2" t="s">
        <v>93</v>
      </c>
      <c r="B78" s="2" t="s">
        <v>98</v>
      </c>
      <c r="C78" s="2"/>
      <c r="D78" s="3" t="n">
        <v>6500</v>
      </c>
      <c r="E78" s="3" t="n">
        <v>6650</v>
      </c>
      <c r="F78" s="2"/>
      <c r="G78" s="2"/>
      <c r="H78" s="3" t="n">
        <v>3900</v>
      </c>
      <c r="I78" s="3" t="n">
        <v>3990</v>
      </c>
      <c r="J78" s="2"/>
    </row>
    <row r="79" customFormat="false" ht="15" hidden="false" customHeight="false" outlineLevel="0" collapsed="false">
      <c r="A79" s="2" t="s">
        <v>99</v>
      </c>
      <c r="B79" s="2" t="s">
        <v>100</v>
      </c>
      <c r="C79" s="2"/>
      <c r="D79" s="3" t="n">
        <v>3750</v>
      </c>
      <c r="E79" s="3" t="n">
        <v>3900</v>
      </c>
      <c r="F79" s="2"/>
      <c r="G79" s="2"/>
      <c r="H79" s="3" t="n">
        <v>2250</v>
      </c>
      <c r="I79" s="3" t="n">
        <v>2340</v>
      </c>
      <c r="J79" s="2"/>
    </row>
    <row r="80" customFormat="false" ht="15" hidden="false" customHeight="false" outlineLevel="0" collapsed="false">
      <c r="A80" s="2" t="s">
        <v>99</v>
      </c>
      <c r="B80" s="2" t="s">
        <v>101</v>
      </c>
      <c r="C80" s="2"/>
      <c r="D80" s="3" t="n">
        <v>4100</v>
      </c>
      <c r="E80" s="3" t="n">
        <v>4250</v>
      </c>
      <c r="F80" s="2"/>
      <c r="G80" s="2"/>
      <c r="H80" s="3" t="n">
        <v>2460</v>
      </c>
      <c r="I80" s="3" t="n">
        <v>2550</v>
      </c>
      <c r="J80" s="2"/>
    </row>
    <row r="81" customFormat="false" ht="15" hidden="false" customHeight="false" outlineLevel="0" collapsed="false">
      <c r="A81" s="2" t="s">
        <v>99</v>
      </c>
      <c r="B81" s="2" t="s">
        <v>102</v>
      </c>
      <c r="C81" s="2"/>
      <c r="D81" s="3" t="n">
        <v>4825</v>
      </c>
      <c r="E81" s="3" t="n">
        <v>4975</v>
      </c>
      <c r="F81" s="2"/>
      <c r="G81" s="2"/>
      <c r="H81" s="3" t="n">
        <v>2895</v>
      </c>
      <c r="I81" s="3" t="n">
        <v>2985</v>
      </c>
      <c r="J81" s="2"/>
    </row>
    <row r="82" customFormat="false" ht="15" hidden="false" customHeight="false" outlineLevel="0" collapsed="false">
      <c r="A82" s="2" t="s">
        <v>99</v>
      </c>
      <c r="B82" s="2" t="s">
        <v>103</v>
      </c>
      <c r="C82" s="2"/>
      <c r="D82" s="3" t="n">
        <v>5270</v>
      </c>
      <c r="E82" s="3" t="n">
        <v>5420</v>
      </c>
      <c r="F82" s="2"/>
      <c r="G82" s="2"/>
      <c r="H82" s="3" t="n">
        <v>3162</v>
      </c>
      <c r="I82" s="3" t="n">
        <v>3252</v>
      </c>
      <c r="J82" s="2"/>
    </row>
    <row r="83" customFormat="false" ht="15" hidden="false" customHeight="false" outlineLevel="0" collapsed="false">
      <c r="A83" s="2" t="s">
        <v>99</v>
      </c>
      <c r="B83" s="2" t="s">
        <v>104</v>
      </c>
      <c r="C83" s="2"/>
      <c r="D83" s="3" t="n">
        <v>5875</v>
      </c>
      <c r="E83" s="3" t="n">
        <v>6025</v>
      </c>
      <c r="F83" s="2"/>
      <c r="G83" s="2"/>
      <c r="H83" s="3" t="n">
        <v>3525</v>
      </c>
      <c r="I83" s="3" t="n">
        <v>3615</v>
      </c>
      <c r="J83" s="2"/>
    </row>
    <row r="84" customFormat="false" ht="15" hidden="false" customHeight="false" outlineLevel="0" collapsed="false">
      <c r="A84" s="2" t="s">
        <v>99</v>
      </c>
      <c r="B84" s="2" t="s">
        <v>105</v>
      </c>
      <c r="C84" s="2"/>
      <c r="D84" s="3" t="n">
        <v>3950</v>
      </c>
      <c r="E84" s="3" t="n">
        <v>4100</v>
      </c>
      <c r="F84" s="2"/>
      <c r="G84" s="2"/>
      <c r="H84" s="3" t="n">
        <v>2370</v>
      </c>
      <c r="I84" s="3" t="n">
        <v>2460</v>
      </c>
      <c r="J84" s="2"/>
    </row>
    <row r="85" customFormat="false" ht="15" hidden="false" customHeight="false" outlineLevel="0" collapsed="false">
      <c r="A85" s="2" t="s">
        <v>99</v>
      </c>
      <c r="B85" s="2" t="s">
        <v>106</v>
      </c>
      <c r="C85" s="2"/>
      <c r="D85" s="3" t="n">
        <v>4325</v>
      </c>
      <c r="E85" s="3" t="n">
        <v>4475</v>
      </c>
      <c r="F85" s="2"/>
      <c r="G85" s="2"/>
      <c r="H85" s="3" t="n">
        <v>2595</v>
      </c>
      <c r="I85" s="3" t="n">
        <v>2685</v>
      </c>
      <c r="J85" s="2"/>
    </row>
    <row r="86" customFormat="false" ht="15" hidden="false" customHeight="false" outlineLevel="0" collapsed="false">
      <c r="A86" s="2" t="s">
        <v>99</v>
      </c>
      <c r="B86" s="2" t="s">
        <v>107</v>
      </c>
      <c r="C86" s="2"/>
      <c r="D86" s="3" t="n">
        <v>5550</v>
      </c>
      <c r="E86" s="3" t="n">
        <v>5700</v>
      </c>
      <c r="F86" s="2"/>
      <c r="G86" s="2"/>
      <c r="H86" s="3" t="n">
        <v>3330</v>
      </c>
      <c r="I86" s="3" t="n">
        <v>3420</v>
      </c>
      <c r="J86" s="2"/>
    </row>
    <row r="87" customFormat="false" ht="15" hidden="false" customHeight="false" outlineLevel="0" collapsed="false">
      <c r="A87" s="2" t="s">
        <v>99</v>
      </c>
      <c r="B87" s="2" t="s">
        <v>108</v>
      </c>
      <c r="C87" s="2"/>
      <c r="D87" s="3" t="n">
        <v>6300</v>
      </c>
      <c r="E87" s="3" t="n">
        <v>6450</v>
      </c>
      <c r="F87" s="2"/>
      <c r="G87" s="2"/>
      <c r="H87" s="3" t="n">
        <v>3780</v>
      </c>
      <c r="I87" s="3" t="n">
        <v>3870</v>
      </c>
      <c r="J87" s="2"/>
    </row>
    <row r="88" customFormat="false" ht="15" hidden="false" customHeight="false" outlineLevel="0" collapsed="false">
      <c r="A88" s="2" t="s">
        <v>99</v>
      </c>
      <c r="B88" s="2" t="s">
        <v>109</v>
      </c>
      <c r="C88" s="2"/>
      <c r="D88" s="3" t="n">
        <v>6950</v>
      </c>
      <c r="E88" s="3" t="n">
        <v>7100</v>
      </c>
      <c r="F88" s="2"/>
      <c r="G88" s="2"/>
      <c r="H88" s="3" t="n">
        <v>4170</v>
      </c>
      <c r="I88" s="3" t="n">
        <v>4260</v>
      </c>
      <c r="J88" s="2"/>
    </row>
    <row r="89" customFormat="false" ht="15" hidden="false" customHeight="false" outlineLevel="0" collapsed="false">
      <c r="A89" s="2" t="s">
        <v>99</v>
      </c>
      <c r="B89" s="2" t="s">
        <v>110</v>
      </c>
      <c r="C89" s="2"/>
      <c r="D89" s="3" t="n">
        <v>7625</v>
      </c>
      <c r="E89" s="3" t="n">
        <v>7775</v>
      </c>
      <c r="F89" s="2"/>
      <c r="G89" s="2"/>
      <c r="H89" s="3" t="n">
        <v>4575</v>
      </c>
      <c r="I89" s="3" t="n">
        <v>4665</v>
      </c>
      <c r="J89" s="2"/>
    </row>
    <row r="90" customFormat="false" ht="15" hidden="false" customHeight="false" outlineLevel="0" collapsed="false">
      <c r="A90" s="2" t="s">
        <v>99</v>
      </c>
      <c r="B90" s="2" t="s">
        <v>111</v>
      </c>
      <c r="C90" s="2"/>
      <c r="D90" s="3" t="n">
        <v>5300</v>
      </c>
      <c r="E90" s="3" t="n">
        <v>5450</v>
      </c>
      <c r="F90" s="2"/>
      <c r="G90" s="2"/>
      <c r="H90" s="3" t="n">
        <v>3180</v>
      </c>
      <c r="I90" s="3" t="n">
        <v>3270</v>
      </c>
      <c r="J90" s="2"/>
    </row>
    <row r="91" customFormat="false" ht="15" hidden="false" customHeight="false" outlineLevel="0" collapsed="false">
      <c r="A91" s="2" t="s">
        <v>99</v>
      </c>
      <c r="B91" s="2" t="s">
        <v>112</v>
      </c>
      <c r="C91" s="2"/>
      <c r="D91" s="3" t="n">
        <v>5850</v>
      </c>
      <c r="E91" s="3" t="n">
        <v>6000</v>
      </c>
      <c r="F91" s="2"/>
      <c r="G91" s="2"/>
      <c r="H91" s="3" t="n">
        <v>3510</v>
      </c>
      <c r="I91" s="3" t="n">
        <v>3600</v>
      </c>
      <c r="J91" s="2"/>
    </row>
    <row r="92" customFormat="false" ht="15" hidden="false" customHeight="false" outlineLevel="0" collapsed="false">
      <c r="A92" s="2" t="s">
        <v>99</v>
      </c>
      <c r="B92" s="2" t="s">
        <v>113</v>
      </c>
      <c r="C92" s="2"/>
      <c r="D92" s="3" t="n">
        <v>7200</v>
      </c>
      <c r="E92" s="3" t="n">
        <v>7250</v>
      </c>
      <c r="F92" s="2"/>
      <c r="G92" s="2"/>
      <c r="H92" s="3" t="n">
        <v>4320</v>
      </c>
      <c r="I92" s="3" t="n">
        <v>4350</v>
      </c>
      <c r="J92" s="2"/>
    </row>
    <row r="93" customFormat="false" ht="15" hidden="false" customHeight="false" outlineLevel="0" collapsed="false">
      <c r="A93" s="2" t="s">
        <v>99</v>
      </c>
      <c r="B93" s="2" t="s">
        <v>114</v>
      </c>
      <c r="C93" s="2"/>
      <c r="D93" s="3" t="n">
        <v>7700</v>
      </c>
      <c r="E93" s="3" t="n">
        <v>7850</v>
      </c>
      <c r="F93" s="2"/>
      <c r="G93" s="2"/>
      <c r="H93" s="3" t="n">
        <v>4620</v>
      </c>
      <c r="I93" s="3" t="n">
        <v>4710</v>
      </c>
      <c r="J93" s="2"/>
    </row>
    <row r="94" customFormat="false" ht="15" hidden="false" customHeight="false" outlineLevel="0" collapsed="false">
      <c r="A94" s="2" t="s">
        <v>99</v>
      </c>
      <c r="B94" s="2" t="s">
        <v>115</v>
      </c>
      <c r="C94" s="2"/>
      <c r="D94" s="3" t="n">
        <v>8500</v>
      </c>
      <c r="E94" s="3" t="n">
        <v>8650</v>
      </c>
      <c r="F94" s="2"/>
      <c r="G94" s="2"/>
      <c r="H94" s="3" t="n">
        <v>5100</v>
      </c>
      <c r="I94" s="3" t="n">
        <v>5190</v>
      </c>
      <c r="J94" s="2"/>
    </row>
    <row r="95" customFormat="false" ht="15" hidden="false" customHeight="false" outlineLevel="0" collapsed="false">
      <c r="A95" s="2" t="s">
        <v>99</v>
      </c>
      <c r="B95" s="2" t="s">
        <v>116</v>
      </c>
      <c r="C95" s="2"/>
      <c r="D95" s="3" t="n">
        <v>9050</v>
      </c>
      <c r="E95" s="3" t="n">
        <v>9200</v>
      </c>
      <c r="F95" s="2"/>
      <c r="G95" s="2"/>
      <c r="H95" s="3" t="n">
        <v>5430</v>
      </c>
      <c r="I95" s="3" t="n">
        <v>5520</v>
      </c>
      <c r="J95" s="2"/>
    </row>
    <row r="96" customFormat="false" ht="15" hidden="false" customHeight="false" outlineLevel="0" collapsed="false">
      <c r="A96" s="2" t="s">
        <v>117</v>
      </c>
      <c r="B96" s="2" t="s">
        <v>118</v>
      </c>
      <c r="C96" s="2"/>
      <c r="D96" s="3" t="n">
        <v>2800</v>
      </c>
      <c r="E96" s="3" t="n">
        <v>2950</v>
      </c>
      <c r="F96" s="2"/>
      <c r="G96" s="2"/>
      <c r="H96" s="3" t="n">
        <v>1680</v>
      </c>
      <c r="I96" s="3" t="n">
        <v>1770</v>
      </c>
      <c r="J96" s="2"/>
    </row>
    <row r="97" customFormat="false" ht="15" hidden="false" customHeight="false" outlineLevel="0" collapsed="false">
      <c r="A97" s="2" t="s">
        <v>117</v>
      </c>
      <c r="B97" s="2" t="s">
        <v>119</v>
      </c>
      <c r="C97" s="2"/>
      <c r="D97" s="3" t="n">
        <v>3750</v>
      </c>
      <c r="E97" s="3" t="n">
        <v>3900</v>
      </c>
      <c r="F97" s="2"/>
      <c r="G97" s="2"/>
      <c r="H97" s="3" t="n">
        <v>2250</v>
      </c>
      <c r="I97" s="3" t="n">
        <v>2340</v>
      </c>
      <c r="J97" s="2"/>
    </row>
    <row r="98" customFormat="false" ht="15" hidden="false" customHeight="false" outlineLevel="0" collapsed="false">
      <c r="A98" s="2" t="s">
        <v>117</v>
      </c>
      <c r="B98" s="2" t="s">
        <v>120</v>
      </c>
      <c r="C98" s="2"/>
      <c r="D98" s="3" t="n">
        <v>2600</v>
      </c>
      <c r="E98" s="3" t="n">
        <v>2750</v>
      </c>
      <c r="F98" s="2"/>
      <c r="G98" s="2"/>
      <c r="H98" s="3" t="n">
        <v>1560</v>
      </c>
      <c r="I98" s="3" t="n">
        <v>1650</v>
      </c>
      <c r="J98" s="2"/>
    </row>
    <row r="99" customFormat="false" ht="15" hidden="false" customHeight="false" outlineLevel="0" collapsed="false">
      <c r="A99" s="2" t="s">
        <v>117</v>
      </c>
      <c r="B99" s="2" t="s">
        <v>121</v>
      </c>
      <c r="C99" s="2"/>
      <c r="D99" s="3" t="n">
        <v>3600</v>
      </c>
      <c r="E99" s="3" t="n">
        <v>3750</v>
      </c>
      <c r="F99" s="2"/>
      <c r="G99" s="2"/>
      <c r="H99" s="3" t="n">
        <v>2160</v>
      </c>
      <c r="I99" s="3" t="n">
        <v>2250</v>
      </c>
      <c r="J99" s="2"/>
    </row>
    <row r="100" customFormat="false" ht="15" hidden="false" customHeight="false" outlineLevel="0" collapsed="false">
      <c r="A100" s="2" t="s">
        <v>117</v>
      </c>
      <c r="B100" s="2" t="s">
        <v>122</v>
      </c>
      <c r="C100" s="2"/>
      <c r="D100" s="3" t="n">
        <v>3900</v>
      </c>
      <c r="E100" s="3" t="n">
        <v>4050</v>
      </c>
      <c r="F100" s="2"/>
      <c r="G100" s="2"/>
      <c r="H100" s="3" t="n">
        <v>2340</v>
      </c>
      <c r="I100" s="3" t="n">
        <v>2430</v>
      </c>
      <c r="J100" s="2"/>
    </row>
    <row r="101" customFormat="false" ht="15" hidden="false" customHeight="false" outlineLevel="0" collapsed="false">
      <c r="A101" s="2" t="s">
        <v>117</v>
      </c>
      <c r="B101" s="2" t="s">
        <v>123</v>
      </c>
      <c r="C101" s="2"/>
      <c r="D101" s="3" t="n">
        <v>4300</v>
      </c>
      <c r="E101" s="3" t="n">
        <v>4450</v>
      </c>
      <c r="F101" s="2"/>
      <c r="G101" s="2"/>
      <c r="H101" s="3" t="n">
        <v>2580</v>
      </c>
      <c r="I101" s="3" t="n">
        <v>2670</v>
      </c>
      <c r="J101" s="2"/>
    </row>
    <row r="102" customFormat="false" ht="15" hidden="false" customHeight="false" outlineLevel="0" collapsed="false">
      <c r="A102" s="2" t="s">
        <v>117</v>
      </c>
      <c r="B102" s="2" t="s">
        <v>124</v>
      </c>
      <c r="C102" s="2"/>
      <c r="D102" s="3" t="n">
        <v>4600</v>
      </c>
      <c r="E102" s="3" t="n">
        <v>4750</v>
      </c>
      <c r="F102" s="2"/>
      <c r="G102" s="2"/>
      <c r="H102" s="3" t="n">
        <v>2760</v>
      </c>
      <c r="I102" s="3" t="n">
        <v>2850</v>
      </c>
      <c r="J102" s="2"/>
    </row>
    <row r="103" customFormat="false" ht="15" hidden="false" customHeight="false" outlineLevel="0" collapsed="false">
      <c r="A103" s="2" t="s">
        <v>117</v>
      </c>
      <c r="B103" s="2" t="s">
        <v>125</v>
      </c>
      <c r="C103" s="2"/>
      <c r="D103" s="3" t="n">
        <v>7500</v>
      </c>
      <c r="E103" s="3" t="n">
        <v>7650</v>
      </c>
      <c r="F103" s="2"/>
      <c r="G103" s="2"/>
      <c r="H103" s="3" t="n">
        <v>4500</v>
      </c>
      <c r="I103" s="3" t="n">
        <v>4590</v>
      </c>
      <c r="J103" s="2"/>
    </row>
    <row r="104" customFormat="false" ht="15" hidden="false" customHeight="false" outlineLevel="0" collapsed="false">
      <c r="A104" s="2" t="s">
        <v>126</v>
      </c>
      <c r="B104" s="2" t="s">
        <v>127</v>
      </c>
      <c r="C104" s="2"/>
      <c r="D104" s="3" t="n">
        <v>2725</v>
      </c>
      <c r="E104" s="3" t="n">
        <v>2875</v>
      </c>
      <c r="F104" s="2"/>
      <c r="G104" s="2"/>
      <c r="H104" s="3" t="n">
        <v>1635</v>
      </c>
      <c r="I104" s="3" t="n">
        <v>1725</v>
      </c>
      <c r="J104" s="2"/>
    </row>
    <row r="105" customFormat="false" ht="15" hidden="false" customHeight="false" outlineLevel="0" collapsed="false">
      <c r="A105" s="2" t="s">
        <v>126</v>
      </c>
      <c r="B105" s="2" t="s">
        <v>128</v>
      </c>
      <c r="C105" s="2"/>
      <c r="D105" s="3" t="n">
        <v>2850</v>
      </c>
      <c r="E105" s="3" t="n">
        <v>3000</v>
      </c>
      <c r="F105" s="2"/>
      <c r="G105" s="2"/>
      <c r="H105" s="3" t="n">
        <v>1710</v>
      </c>
      <c r="I105" s="3" t="n">
        <v>1800</v>
      </c>
      <c r="J105" s="2"/>
    </row>
    <row r="106" customFormat="false" ht="15" hidden="false" customHeight="false" outlineLevel="0" collapsed="false">
      <c r="A106" s="2" t="s">
        <v>126</v>
      </c>
      <c r="B106" s="2" t="s">
        <v>129</v>
      </c>
      <c r="C106" s="2"/>
      <c r="D106" s="3" t="n">
        <v>3925</v>
      </c>
      <c r="E106" s="3" t="n">
        <v>4075</v>
      </c>
      <c r="F106" s="2"/>
      <c r="G106" s="2"/>
      <c r="H106" s="3" t="n">
        <v>2355</v>
      </c>
      <c r="I106" s="3" t="n">
        <v>2445</v>
      </c>
      <c r="J106" s="2"/>
    </row>
    <row r="107" customFormat="false" ht="15" hidden="false" customHeight="false" outlineLevel="0" collapsed="false">
      <c r="A107" s="2" t="s">
        <v>126</v>
      </c>
      <c r="B107" s="2" t="s">
        <v>130</v>
      </c>
      <c r="C107" s="2"/>
      <c r="D107" s="3" t="n">
        <v>4450</v>
      </c>
      <c r="E107" s="3" t="n">
        <v>4600</v>
      </c>
      <c r="F107" s="2"/>
      <c r="G107" s="2"/>
      <c r="H107" s="3" t="n">
        <v>2670</v>
      </c>
      <c r="I107" s="3" t="n">
        <v>2760</v>
      </c>
      <c r="J107" s="2"/>
    </row>
    <row r="108" customFormat="false" ht="15" hidden="false" customHeight="false" outlineLevel="0" collapsed="false">
      <c r="A108" s="2" t="s">
        <v>126</v>
      </c>
      <c r="B108" s="2" t="s">
        <v>131</v>
      </c>
      <c r="C108" s="2"/>
      <c r="D108" s="3" t="n">
        <v>4950</v>
      </c>
      <c r="E108" s="3" t="n">
        <v>5100</v>
      </c>
      <c r="F108" s="2"/>
      <c r="G108" s="2"/>
      <c r="H108" s="3" t="n">
        <v>2970</v>
      </c>
      <c r="I108" s="3" t="n">
        <v>3060</v>
      </c>
      <c r="J108" s="2"/>
    </row>
    <row r="109" customFormat="false" ht="15" hidden="false" customHeight="false" outlineLevel="0" collapsed="false">
      <c r="A109" s="2" t="s">
        <v>126</v>
      </c>
      <c r="B109" s="2" t="s">
        <v>132</v>
      </c>
      <c r="C109" s="2"/>
      <c r="D109" s="3" t="n">
        <v>5300</v>
      </c>
      <c r="E109" s="3" t="n">
        <v>5450</v>
      </c>
      <c r="F109" s="2"/>
      <c r="G109" s="2"/>
      <c r="H109" s="3" t="n">
        <v>3180</v>
      </c>
      <c r="I109" s="3" t="n">
        <v>3270</v>
      </c>
      <c r="J109" s="2"/>
    </row>
    <row r="110" customFormat="false" ht="15" hidden="false" customHeight="false" outlineLevel="0" collapsed="false">
      <c r="A110" s="2" t="s">
        <v>133</v>
      </c>
      <c r="B110" s="2" t="s">
        <v>134</v>
      </c>
      <c r="C110" s="2"/>
      <c r="D110" s="3" t="n">
        <v>3510</v>
      </c>
      <c r="E110" s="3" t="n">
        <v>3660</v>
      </c>
      <c r="F110" s="2"/>
      <c r="G110" s="2"/>
      <c r="H110" s="3" t="n">
        <v>2106</v>
      </c>
      <c r="I110" s="3" t="n">
        <v>2196</v>
      </c>
      <c r="J110" s="2"/>
    </row>
    <row r="111" customFormat="false" ht="15" hidden="false" customHeight="false" outlineLevel="0" collapsed="false">
      <c r="A111" s="2" t="s">
        <v>133</v>
      </c>
      <c r="B111" s="2" t="s">
        <v>135</v>
      </c>
      <c r="C111" s="2"/>
      <c r="D111" s="3" t="n">
        <v>5000</v>
      </c>
      <c r="E111" s="3" t="n">
        <v>5150</v>
      </c>
      <c r="F111" s="2"/>
      <c r="G111" s="2"/>
      <c r="H111" s="3" t="n">
        <v>3000</v>
      </c>
      <c r="I111" s="3" t="n">
        <v>3090</v>
      </c>
      <c r="J111" s="2"/>
    </row>
    <row r="112" customFormat="false" ht="15" hidden="false" customHeight="false" outlineLevel="0" collapsed="false">
      <c r="A112" s="2" t="s">
        <v>133</v>
      </c>
      <c r="B112" s="2" t="s">
        <v>136</v>
      </c>
      <c r="C112" s="2"/>
      <c r="D112" s="3" t="n">
        <v>5860</v>
      </c>
      <c r="E112" s="3" t="n">
        <v>6010</v>
      </c>
      <c r="F112" s="2"/>
      <c r="G112" s="2"/>
      <c r="H112" s="3" t="n">
        <v>3516</v>
      </c>
      <c r="I112" s="3" t="n">
        <v>3606</v>
      </c>
      <c r="J112" s="2"/>
    </row>
    <row r="113" customFormat="false" ht="15" hidden="false" customHeight="false" outlineLevel="0" collapsed="false">
      <c r="A113" s="2" t="s">
        <v>133</v>
      </c>
      <c r="B113" s="2" t="s">
        <v>137</v>
      </c>
      <c r="C113" s="2"/>
      <c r="D113" s="3" t="n">
        <v>6950</v>
      </c>
      <c r="E113" s="3" t="n">
        <v>7100</v>
      </c>
      <c r="F113" s="2"/>
      <c r="G113" s="2"/>
      <c r="H113" s="3" t="n">
        <v>4170</v>
      </c>
      <c r="I113" s="3" t="n">
        <v>4260</v>
      </c>
      <c r="J113" s="2"/>
    </row>
    <row r="114" customFormat="false" ht="15" hidden="false" customHeight="false" outlineLevel="0" collapsed="false">
      <c r="A114" s="2" t="s">
        <v>133</v>
      </c>
      <c r="B114" s="2" t="s">
        <v>138</v>
      </c>
      <c r="C114" s="2"/>
      <c r="D114" s="3" t="n">
        <v>7350</v>
      </c>
      <c r="E114" s="3" t="n">
        <v>7500</v>
      </c>
      <c r="F114" s="2"/>
      <c r="G114" s="2"/>
      <c r="H114" s="3" t="n">
        <v>4410</v>
      </c>
      <c r="I114" s="3" t="n">
        <v>4500</v>
      </c>
      <c r="J114" s="2"/>
    </row>
    <row r="115" customFormat="false" ht="15" hidden="false" customHeight="false" outlineLevel="0" collapsed="false">
      <c r="A115" s="2" t="s">
        <v>133</v>
      </c>
      <c r="B115" s="2" t="s">
        <v>139</v>
      </c>
      <c r="C115" s="2"/>
      <c r="D115" s="3" t="n">
        <v>7950</v>
      </c>
      <c r="E115" s="3" t="n">
        <v>8100</v>
      </c>
      <c r="F115" s="2"/>
      <c r="G115" s="2"/>
      <c r="H115" s="3" t="n">
        <v>4770</v>
      </c>
      <c r="I115" s="3" t="n">
        <v>4860</v>
      </c>
      <c r="J115" s="2"/>
    </row>
    <row r="116" customFormat="false" ht="15" hidden="false" customHeight="false" outlineLevel="0" collapsed="false">
      <c r="A116" s="2" t="s">
        <v>133</v>
      </c>
      <c r="B116" s="2" t="s">
        <v>140</v>
      </c>
      <c r="C116" s="2"/>
      <c r="D116" s="3" t="n">
        <v>8275</v>
      </c>
      <c r="E116" s="3" t="n">
        <v>8425</v>
      </c>
      <c r="F116" s="2"/>
      <c r="G116" s="2"/>
      <c r="H116" s="3" t="n">
        <v>4965</v>
      </c>
      <c r="I116" s="3" t="n">
        <v>5055</v>
      </c>
      <c r="J116" s="2"/>
    </row>
    <row r="117" customFormat="false" ht="15" hidden="false" customHeight="false" outlineLevel="0" collapsed="false">
      <c r="A117" s="2" t="s">
        <v>141</v>
      </c>
      <c r="B117" s="2" t="s">
        <v>142</v>
      </c>
      <c r="C117" s="2"/>
      <c r="D117" s="3" t="n">
        <v>3510</v>
      </c>
      <c r="E117" s="3" t="n">
        <v>3660</v>
      </c>
      <c r="F117" s="2"/>
      <c r="G117" s="2"/>
      <c r="H117" s="3" t="n">
        <v>2106</v>
      </c>
      <c r="I117" s="3" t="n">
        <v>2196</v>
      </c>
      <c r="J117" s="2"/>
    </row>
    <row r="118" customFormat="false" ht="15" hidden="false" customHeight="false" outlineLevel="0" collapsed="false">
      <c r="A118" s="2" t="s">
        <v>141</v>
      </c>
      <c r="B118" s="2" t="s">
        <v>143</v>
      </c>
      <c r="C118" s="2"/>
      <c r="D118" s="3" t="n">
        <v>3925</v>
      </c>
      <c r="E118" s="3" t="n">
        <v>4075</v>
      </c>
      <c r="F118" s="2"/>
      <c r="G118" s="2"/>
      <c r="H118" s="3" t="n">
        <v>2355</v>
      </c>
      <c r="I118" s="3" t="n">
        <v>2445</v>
      </c>
      <c r="J118" s="2"/>
    </row>
    <row r="119" customFormat="false" ht="15" hidden="false" customHeight="false" outlineLevel="0" collapsed="false">
      <c r="A119" s="2" t="s">
        <v>141</v>
      </c>
      <c r="B119" s="2" t="s">
        <v>144</v>
      </c>
      <c r="C119" s="2"/>
      <c r="D119" s="3" t="n">
        <v>4625</v>
      </c>
      <c r="E119" s="3" t="n">
        <v>4775</v>
      </c>
      <c r="F119" s="2"/>
      <c r="G119" s="2"/>
      <c r="H119" s="3" t="n">
        <v>2775</v>
      </c>
      <c r="I119" s="3" t="n">
        <v>2865</v>
      </c>
      <c r="J119" s="2"/>
    </row>
    <row r="120" customFormat="false" ht="15" hidden="false" customHeight="false" outlineLevel="0" collapsed="false">
      <c r="A120" s="2" t="s">
        <v>141</v>
      </c>
      <c r="B120" s="2" t="s">
        <v>145</v>
      </c>
      <c r="C120" s="2"/>
      <c r="D120" s="3" t="n">
        <v>5185</v>
      </c>
      <c r="E120" s="3" t="n">
        <v>5335</v>
      </c>
      <c r="F120" s="2"/>
      <c r="G120" s="2"/>
      <c r="H120" s="3" t="n">
        <v>3111</v>
      </c>
      <c r="I120" s="3" t="n">
        <v>3201</v>
      </c>
      <c r="J120" s="2"/>
    </row>
    <row r="121" customFormat="false" ht="15" hidden="false" customHeight="false" outlineLevel="0" collapsed="false">
      <c r="A121" s="2" t="s">
        <v>141</v>
      </c>
      <c r="B121" s="2" t="s">
        <v>146</v>
      </c>
      <c r="C121" s="2"/>
      <c r="D121" s="3" t="n">
        <v>5530</v>
      </c>
      <c r="E121" s="3" t="n">
        <v>5680</v>
      </c>
      <c r="F121" s="2"/>
      <c r="G121" s="2"/>
      <c r="H121" s="3" t="n">
        <v>3318</v>
      </c>
      <c r="I121" s="3" t="n">
        <v>3408</v>
      </c>
      <c r="J121" s="2"/>
    </row>
    <row r="122" customFormat="false" ht="15" hidden="false" customHeight="false" outlineLevel="0" collapsed="false">
      <c r="A122" s="2" t="s">
        <v>141</v>
      </c>
      <c r="B122" s="2" t="s">
        <v>147</v>
      </c>
      <c r="C122" s="2"/>
      <c r="D122" s="3" t="n">
        <v>5450</v>
      </c>
      <c r="E122" s="3" t="n">
        <v>5600</v>
      </c>
      <c r="F122" s="2"/>
      <c r="G122" s="2"/>
      <c r="H122" s="3" t="n">
        <v>3270</v>
      </c>
      <c r="I122" s="3" t="n">
        <v>3360</v>
      </c>
      <c r="J122" s="2"/>
    </row>
    <row r="123" customFormat="false" ht="15" hidden="false" customHeight="false" outlineLevel="0" collapsed="false">
      <c r="A123" s="2" t="s">
        <v>141</v>
      </c>
      <c r="B123" s="2" t="s">
        <v>148</v>
      </c>
      <c r="C123" s="2"/>
      <c r="D123" s="3" t="n">
        <v>5985</v>
      </c>
      <c r="E123" s="3" t="n">
        <v>5835</v>
      </c>
      <c r="F123" s="2"/>
      <c r="G123" s="2"/>
      <c r="H123" s="3" t="n">
        <v>3591</v>
      </c>
      <c r="I123" s="3" t="n">
        <v>3501</v>
      </c>
      <c r="J123" s="2"/>
    </row>
    <row r="124" customFormat="false" ht="15" hidden="false" customHeight="false" outlineLevel="0" collapsed="false">
      <c r="A124" s="2" t="s">
        <v>141</v>
      </c>
      <c r="B124" s="2" t="s">
        <v>149</v>
      </c>
      <c r="C124" s="2"/>
      <c r="D124" s="3" t="n">
        <v>6425</v>
      </c>
      <c r="E124" s="3" t="n">
        <v>6575</v>
      </c>
      <c r="F124" s="2"/>
      <c r="G124" s="2"/>
      <c r="H124" s="3" t="n">
        <v>3855</v>
      </c>
      <c r="I124" s="3" t="n">
        <v>3945</v>
      </c>
      <c r="J124" s="2"/>
    </row>
    <row r="125" customFormat="false" ht="15" hidden="false" customHeight="false" outlineLevel="0" collapsed="false">
      <c r="A125" s="2" t="s">
        <v>141</v>
      </c>
      <c r="B125" s="2" t="s">
        <v>150</v>
      </c>
      <c r="C125" s="2"/>
      <c r="D125" s="3" t="n">
        <v>5800</v>
      </c>
      <c r="E125" s="3" t="n">
        <v>5950</v>
      </c>
      <c r="F125" s="2"/>
      <c r="G125" s="2"/>
      <c r="H125" s="3" t="n">
        <v>3480</v>
      </c>
      <c r="I125" s="3" t="n">
        <v>3570</v>
      </c>
      <c r="J125" s="2"/>
    </row>
    <row r="126" customFormat="false" ht="15" hidden="false" customHeight="false" outlineLevel="0" collapsed="false">
      <c r="A126" s="2" t="s">
        <v>141</v>
      </c>
      <c r="B126" s="2" t="s">
        <v>151</v>
      </c>
      <c r="C126" s="2"/>
      <c r="D126" s="3" t="n">
        <v>6800</v>
      </c>
      <c r="E126" s="3" t="n">
        <v>6950</v>
      </c>
      <c r="F126" s="2"/>
      <c r="G126" s="2"/>
      <c r="H126" s="3" t="n">
        <v>4080</v>
      </c>
      <c r="I126" s="3" t="n">
        <v>4170</v>
      </c>
      <c r="J126" s="2"/>
    </row>
    <row r="127" customFormat="false" ht="15" hidden="false" customHeight="false" outlineLevel="0" collapsed="false">
      <c r="A127" s="2" t="s">
        <v>141</v>
      </c>
      <c r="B127" s="2" t="s">
        <v>152</v>
      </c>
      <c r="C127" s="2"/>
      <c r="D127" s="3" t="n">
        <v>7505</v>
      </c>
      <c r="E127" s="3" t="n">
        <v>7655</v>
      </c>
      <c r="F127" s="2"/>
      <c r="G127" s="2"/>
      <c r="H127" s="3" t="n">
        <v>4503</v>
      </c>
      <c r="I127" s="3" t="n">
        <v>4593</v>
      </c>
      <c r="J127" s="2"/>
    </row>
    <row r="128" customFormat="false" ht="15" hidden="false" customHeight="false" outlineLevel="0" collapsed="false">
      <c r="A128" s="2" t="s">
        <v>141</v>
      </c>
      <c r="B128" s="2" t="s">
        <v>153</v>
      </c>
      <c r="C128" s="2"/>
      <c r="D128" s="3" t="n">
        <v>8050</v>
      </c>
      <c r="E128" s="3" t="n">
        <v>8200</v>
      </c>
      <c r="F128" s="2"/>
      <c r="G128" s="2"/>
      <c r="H128" s="3" t="n">
        <v>4830</v>
      </c>
      <c r="I128" s="3" t="n">
        <v>4920</v>
      </c>
      <c r="J128" s="2"/>
    </row>
    <row r="129" customFormat="false" ht="15" hidden="false" customHeight="false" outlineLevel="0" collapsed="false">
      <c r="A129" s="2" t="s">
        <v>154</v>
      </c>
      <c r="B129" s="2" t="s">
        <v>155</v>
      </c>
      <c r="C129" s="2"/>
      <c r="D129" s="3" t="n">
        <v>7500</v>
      </c>
      <c r="E129" s="3" t="n">
        <v>7650</v>
      </c>
      <c r="F129" s="2"/>
      <c r="G129" s="2"/>
      <c r="H129" s="3" t="n">
        <v>5250</v>
      </c>
      <c r="I129" s="3" t="n">
        <v>5355</v>
      </c>
      <c r="J129" s="2"/>
    </row>
    <row r="130" customFormat="false" ht="15" hidden="false" customHeight="false" outlineLevel="0" collapsed="false">
      <c r="A130" s="2" t="s">
        <v>154</v>
      </c>
      <c r="B130" s="2" t="s">
        <v>156</v>
      </c>
      <c r="C130" s="2"/>
      <c r="D130" s="3" t="n">
        <v>8550</v>
      </c>
      <c r="E130" s="3" t="n">
        <v>9000</v>
      </c>
      <c r="F130" s="2"/>
      <c r="G130" s="2"/>
      <c r="H130" s="3" t="n">
        <v>5985</v>
      </c>
      <c r="I130" s="3" t="n">
        <v>6300</v>
      </c>
      <c r="J130" s="2"/>
    </row>
    <row r="131" customFormat="false" ht="15" hidden="false" customHeight="false" outlineLevel="0" collapsed="false">
      <c r="A131" s="2" t="s">
        <v>154</v>
      </c>
      <c r="B131" s="2" t="s">
        <v>157</v>
      </c>
      <c r="C131" s="2"/>
      <c r="D131" s="3" t="n">
        <v>9775</v>
      </c>
      <c r="E131" s="3" t="n">
        <v>9925</v>
      </c>
      <c r="F131" s="2"/>
      <c r="G131" s="2"/>
      <c r="H131" s="3" t="n">
        <v>6842.5</v>
      </c>
      <c r="I131" s="3" t="n">
        <v>6947.5</v>
      </c>
      <c r="J131" s="2"/>
    </row>
    <row r="132" customFormat="false" ht="15" hidden="false" customHeight="false" outlineLevel="0" collapsed="false">
      <c r="A132" s="2" t="s">
        <v>154</v>
      </c>
      <c r="B132" s="2" t="s">
        <v>158</v>
      </c>
      <c r="C132" s="2"/>
      <c r="D132" s="3" t="n">
        <v>11500</v>
      </c>
      <c r="E132" s="3" t="n">
        <v>11650</v>
      </c>
      <c r="F132" s="2"/>
      <c r="G132" s="2"/>
      <c r="H132" s="3" t="n">
        <v>8050</v>
      </c>
      <c r="I132" s="3" t="n">
        <v>8155</v>
      </c>
      <c r="J132" s="2"/>
    </row>
    <row r="133" customFormat="false" ht="15" hidden="false" customHeight="false" outlineLevel="0" collapsed="false">
      <c r="A133" s="2" t="s">
        <v>154</v>
      </c>
      <c r="B133" s="2" t="s">
        <v>159</v>
      </c>
      <c r="C133" s="2"/>
      <c r="D133" s="3" t="n">
        <v>12500</v>
      </c>
      <c r="E133" s="3" t="n">
        <v>12650</v>
      </c>
      <c r="F133" s="2"/>
      <c r="G133" s="2"/>
      <c r="H133" s="3" t="n">
        <v>8750</v>
      </c>
      <c r="I133" s="3" t="n">
        <v>8855</v>
      </c>
      <c r="J133" s="2"/>
    </row>
    <row r="134" customFormat="false" ht="15" hidden="false" customHeight="false" outlineLevel="0" collapsed="false">
      <c r="A134" s="2" t="s">
        <v>154</v>
      </c>
      <c r="B134" s="2" t="s">
        <v>160</v>
      </c>
      <c r="C134" s="2"/>
      <c r="D134" s="3" t="n">
        <v>13500</v>
      </c>
      <c r="E134" s="3" t="n">
        <v>13650</v>
      </c>
      <c r="F134" s="2"/>
      <c r="G134" s="2"/>
      <c r="H134" s="3" t="n">
        <v>9450</v>
      </c>
      <c r="I134" s="3" t="n">
        <v>9555</v>
      </c>
      <c r="J134" s="2"/>
    </row>
    <row r="135" customFormat="false" ht="15" hidden="false" customHeight="false" outlineLevel="0" collapsed="false">
      <c r="A135" s="2" t="s">
        <v>154</v>
      </c>
      <c r="B135" s="2" t="s">
        <v>161</v>
      </c>
      <c r="C135" s="2"/>
      <c r="D135" s="3" t="n">
        <v>10750</v>
      </c>
      <c r="E135" s="3" t="n">
        <v>10900</v>
      </c>
      <c r="F135" s="2"/>
      <c r="G135" s="2"/>
      <c r="H135" s="3" t="n">
        <v>7525</v>
      </c>
      <c r="I135" s="3" t="n">
        <v>7630</v>
      </c>
      <c r="J135" s="2"/>
    </row>
    <row r="136" customFormat="false" ht="15" hidden="false" customHeight="false" outlineLevel="0" collapsed="false">
      <c r="A136" s="2" t="s">
        <v>154</v>
      </c>
      <c r="B136" s="2" t="s">
        <v>162</v>
      </c>
      <c r="C136" s="2"/>
      <c r="D136" s="3" t="n">
        <v>13500</v>
      </c>
      <c r="E136" s="3" t="n">
        <v>15650</v>
      </c>
      <c r="F136" s="2"/>
      <c r="G136" s="2"/>
      <c r="H136" s="3" t="n">
        <v>9450</v>
      </c>
      <c r="I136" s="3" t="n">
        <v>10955</v>
      </c>
      <c r="J136" s="2"/>
    </row>
    <row r="137" customFormat="false" ht="15" hidden="false" customHeight="false" outlineLevel="0" collapsed="false">
      <c r="A137" s="2" t="s">
        <v>154</v>
      </c>
      <c r="B137" s="2" t="s">
        <v>163</v>
      </c>
      <c r="C137" s="2"/>
      <c r="D137" s="3" t="n">
        <v>11500</v>
      </c>
      <c r="E137" s="3" t="n">
        <v>11650</v>
      </c>
      <c r="F137" s="2"/>
      <c r="G137" s="2"/>
      <c r="H137" s="3" t="n">
        <v>8050</v>
      </c>
      <c r="I137" s="3" t="n">
        <v>8155</v>
      </c>
      <c r="J137" s="2"/>
    </row>
    <row r="138" customFormat="false" ht="15" hidden="false" customHeight="false" outlineLevel="0" collapsed="false">
      <c r="A138" s="2" t="s">
        <v>154</v>
      </c>
      <c r="B138" s="2" t="s">
        <v>164</v>
      </c>
      <c r="C138" s="2"/>
      <c r="D138" s="3" t="n">
        <v>12700</v>
      </c>
      <c r="E138" s="3" t="n">
        <v>12850</v>
      </c>
      <c r="F138" s="2"/>
      <c r="G138" s="2"/>
      <c r="H138" s="3" t="n">
        <v>8890</v>
      </c>
      <c r="I138" s="3" t="n">
        <v>8995</v>
      </c>
      <c r="J138" s="2"/>
    </row>
    <row r="139" customFormat="false" ht="15" hidden="false" customHeight="false" outlineLevel="0" collapsed="false">
      <c r="A139" s="2" t="s">
        <v>154</v>
      </c>
      <c r="B139" s="2" t="s">
        <v>165</v>
      </c>
      <c r="C139" s="2"/>
      <c r="D139" s="3" t="n">
        <v>13900</v>
      </c>
      <c r="E139" s="3" t="n">
        <v>14050</v>
      </c>
      <c r="F139" s="2"/>
      <c r="G139" s="2"/>
      <c r="H139" s="3" t="n">
        <v>9730</v>
      </c>
      <c r="I139" s="3" t="n">
        <v>9835</v>
      </c>
      <c r="J139" s="2"/>
    </row>
    <row r="140" customFormat="false" ht="15" hidden="false" customHeight="false" outlineLevel="0" collapsed="false">
      <c r="A140" s="2" t="s">
        <v>154</v>
      </c>
      <c r="B140" s="2" t="s">
        <v>166</v>
      </c>
      <c r="C140" s="2"/>
      <c r="D140" s="3" t="n">
        <v>11300</v>
      </c>
      <c r="E140" s="3" t="n">
        <v>11450</v>
      </c>
      <c r="F140" s="2"/>
      <c r="G140" s="2"/>
      <c r="H140" s="3" t="n">
        <v>7910</v>
      </c>
      <c r="I140" s="3" t="n">
        <v>8015</v>
      </c>
      <c r="J140" s="2"/>
    </row>
    <row r="141" customFormat="false" ht="15" hidden="false" customHeight="false" outlineLevel="0" collapsed="false">
      <c r="A141" s="2" t="s">
        <v>154</v>
      </c>
      <c r="B141" s="2" t="s">
        <v>167</v>
      </c>
      <c r="C141" s="2"/>
      <c r="D141" s="3" t="n">
        <v>13800</v>
      </c>
      <c r="E141" s="3" t="n">
        <v>13950</v>
      </c>
      <c r="F141" s="2"/>
      <c r="G141" s="2"/>
      <c r="H141" s="3" t="n">
        <v>9660</v>
      </c>
      <c r="I141" s="3" t="n">
        <v>9765</v>
      </c>
      <c r="J141" s="2"/>
    </row>
    <row r="142" customFormat="false" ht="15" hidden="false" customHeight="false" outlineLevel="0" collapsed="false">
      <c r="A142" s="2" t="s">
        <v>154</v>
      </c>
      <c r="B142" s="2" t="s">
        <v>168</v>
      </c>
      <c r="C142" s="2"/>
      <c r="D142" s="3" t="n">
        <v>12000</v>
      </c>
      <c r="E142" s="3" t="n">
        <v>12150</v>
      </c>
      <c r="F142" s="2"/>
      <c r="G142" s="2"/>
      <c r="H142" s="2"/>
      <c r="I142" s="2"/>
      <c r="J142" s="2"/>
    </row>
    <row r="143" customFormat="false" ht="15" hidden="false" customHeight="false" outlineLevel="0" collapsed="false">
      <c r="A143" s="2" t="s">
        <v>154</v>
      </c>
      <c r="B143" s="2" t="s">
        <v>169</v>
      </c>
      <c r="C143" s="2"/>
      <c r="D143" s="3" t="n">
        <v>13500</v>
      </c>
      <c r="E143" s="3" t="n">
        <v>13650</v>
      </c>
      <c r="F143" s="2"/>
      <c r="G143" s="2"/>
      <c r="H143" s="3" t="n">
        <v>9450</v>
      </c>
      <c r="I143" s="3" t="n">
        <v>9555</v>
      </c>
      <c r="J143" s="2"/>
    </row>
    <row r="144" customFormat="false" ht="15" hidden="false" customHeight="false" outlineLevel="0" collapsed="false">
      <c r="A144" s="2" t="s">
        <v>154</v>
      </c>
      <c r="B144" s="2" t="s">
        <v>170</v>
      </c>
      <c r="C144" s="2"/>
      <c r="D144" s="3" t="n">
        <v>15650</v>
      </c>
      <c r="E144" s="3" t="n">
        <v>15800</v>
      </c>
      <c r="F144" s="2"/>
      <c r="G144" s="2"/>
      <c r="H144" s="3" t="n">
        <v>10955</v>
      </c>
      <c r="I144" s="3" t="n">
        <v>11060</v>
      </c>
      <c r="J144" s="2"/>
    </row>
    <row r="145" customFormat="false" ht="15" hidden="false" customHeight="false" outlineLevel="0" collapsed="false">
      <c r="A145" s="2" t="s">
        <v>154</v>
      </c>
      <c r="B145" s="2" t="s">
        <v>171</v>
      </c>
      <c r="C145" s="2"/>
      <c r="D145" s="3" t="n">
        <v>12850</v>
      </c>
      <c r="E145" s="3" t="n">
        <v>13000</v>
      </c>
      <c r="F145" s="2"/>
      <c r="G145" s="2"/>
      <c r="H145" s="3" t="n">
        <v>8995</v>
      </c>
      <c r="I145" s="3" t="n">
        <v>9100</v>
      </c>
      <c r="J145" s="2"/>
    </row>
    <row r="146" customFormat="false" ht="15" hidden="false" customHeight="false" outlineLevel="0" collapsed="false">
      <c r="A146" s="2" t="s">
        <v>154</v>
      </c>
      <c r="B146" s="2" t="s">
        <v>172</v>
      </c>
      <c r="C146" s="2"/>
      <c r="D146" s="3" t="n">
        <v>14500</v>
      </c>
      <c r="E146" s="3" t="n">
        <v>14610</v>
      </c>
      <c r="F146" s="2"/>
      <c r="G146" s="2"/>
      <c r="H146" s="3" t="n">
        <v>10150</v>
      </c>
      <c r="I146" s="3" t="n">
        <v>10227</v>
      </c>
      <c r="J146" s="2"/>
    </row>
    <row r="147" customFormat="false" ht="15" hidden="false" customHeight="false" outlineLevel="0" collapsed="false">
      <c r="A147" s="2" t="s">
        <v>154</v>
      </c>
      <c r="B147" s="2" t="s">
        <v>173</v>
      </c>
      <c r="C147" s="2"/>
      <c r="D147" s="3" t="n">
        <v>14650</v>
      </c>
      <c r="E147" s="3" t="n">
        <v>14760</v>
      </c>
      <c r="F147" s="2"/>
      <c r="G147" s="2"/>
      <c r="H147" s="3" t="n">
        <v>10255</v>
      </c>
      <c r="I147" s="3" t="n">
        <v>10332</v>
      </c>
      <c r="J147" s="2"/>
    </row>
    <row r="148" customFormat="false" ht="15" hidden="false" customHeight="false" outlineLevel="0" collapsed="false">
      <c r="A148" s="2" t="s">
        <v>154</v>
      </c>
      <c r="B148" s="2" t="s">
        <v>174</v>
      </c>
      <c r="C148" s="2"/>
      <c r="D148" s="3" t="n">
        <v>13675</v>
      </c>
      <c r="E148" s="3" t="n">
        <v>13825</v>
      </c>
      <c r="F148" s="2"/>
      <c r="G148" s="2"/>
      <c r="H148" s="3" t="n">
        <v>9572.5</v>
      </c>
      <c r="I148" s="3" t="n">
        <v>9677.5</v>
      </c>
      <c r="J148" s="2"/>
    </row>
    <row r="149" customFormat="false" ht="15" hidden="false" customHeight="false" outlineLevel="0" collapsed="false">
      <c r="A149" s="2" t="s">
        <v>154</v>
      </c>
      <c r="B149" s="2" t="s">
        <v>175</v>
      </c>
      <c r="C149" s="2"/>
      <c r="D149" s="3" t="n">
        <v>17050</v>
      </c>
      <c r="E149" s="3" t="n">
        <v>17300</v>
      </c>
      <c r="F149" s="2"/>
      <c r="G149" s="2"/>
      <c r="H149" s="3" t="n">
        <v>11935</v>
      </c>
      <c r="I149" s="3" t="n">
        <v>12110</v>
      </c>
      <c r="J149" s="2"/>
    </row>
    <row r="150" customFormat="false" ht="15" hidden="false" customHeight="false" outlineLevel="0" collapsed="false">
      <c r="A150" s="2" t="s">
        <v>154</v>
      </c>
      <c r="B150" s="2" t="s">
        <v>176</v>
      </c>
      <c r="C150" s="2"/>
      <c r="D150" s="3" t="n">
        <v>13550</v>
      </c>
      <c r="E150" s="3" t="n">
        <v>13700</v>
      </c>
      <c r="F150" s="2"/>
      <c r="G150" s="2"/>
      <c r="H150" s="3" t="n">
        <v>9485</v>
      </c>
      <c r="I150" s="3" t="n">
        <v>11935</v>
      </c>
      <c r="J150" s="2"/>
    </row>
    <row r="151" customFormat="false" ht="15" hidden="false" customHeight="false" outlineLevel="0" collapsed="false">
      <c r="A151" s="2" t="s">
        <v>154</v>
      </c>
      <c r="B151" s="2" t="s">
        <v>177</v>
      </c>
      <c r="C151" s="2"/>
      <c r="D151" s="3" t="n">
        <v>14800</v>
      </c>
      <c r="E151" s="3" t="n">
        <v>14950</v>
      </c>
      <c r="F151" s="2"/>
      <c r="G151" s="2"/>
      <c r="H151" s="3" t="n">
        <v>9485</v>
      </c>
      <c r="I151" s="3" t="n">
        <v>25550</v>
      </c>
      <c r="J151" s="2"/>
    </row>
    <row r="152" customFormat="false" ht="15" hidden="false" customHeight="false" outlineLevel="0" collapsed="false">
      <c r="A152" s="2" t="s">
        <v>154</v>
      </c>
      <c r="B152" s="2" t="s">
        <v>178</v>
      </c>
      <c r="C152" s="2"/>
      <c r="D152" s="3" t="n">
        <v>16900</v>
      </c>
      <c r="E152" s="3" t="n">
        <v>17050</v>
      </c>
      <c r="F152" s="2"/>
      <c r="G152" s="2"/>
      <c r="H152" s="3" t="n">
        <v>11830</v>
      </c>
      <c r="I152" s="3" t="n">
        <v>11935</v>
      </c>
      <c r="J152" s="2"/>
    </row>
    <row r="153" customFormat="false" ht="15" hidden="false" customHeight="false" outlineLevel="0" collapsed="false">
      <c r="A153" s="2" t="s">
        <v>154</v>
      </c>
      <c r="B153" s="2" t="s">
        <v>179</v>
      </c>
      <c r="C153" s="2"/>
      <c r="D153" s="3" t="n">
        <v>15625</v>
      </c>
      <c r="E153" s="3" t="n">
        <v>15750</v>
      </c>
      <c r="F153" s="2"/>
      <c r="G153" s="2"/>
      <c r="H153" s="3" t="n">
        <v>10937.5</v>
      </c>
      <c r="I153" s="3" t="n">
        <v>11025</v>
      </c>
      <c r="J153" s="2"/>
    </row>
    <row r="154" customFormat="false" ht="15" hidden="false" customHeight="false" outlineLevel="0" collapsed="false">
      <c r="A154" s="2" t="s">
        <v>154</v>
      </c>
      <c r="B154" s="2" t="s">
        <v>180</v>
      </c>
      <c r="C154" s="2"/>
      <c r="D154" s="3" t="n">
        <v>19500</v>
      </c>
      <c r="E154" s="3" t="n">
        <v>19650</v>
      </c>
      <c r="F154" s="2"/>
      <c r="G154" s="2"/>
      <c r="H154" s="3" t="n">
        <v>13650</v>
      </c>
      <c r="I154" s="3" t="n">
        <v>13755</v>
      </c>
      <c r="J154" s="2"/>
    </row>
    <row r="155" customFormat="false" ht="15" hidden="false" customHeight="false" outlineLevel="0" collapsed="false">
      <c r="A155" s="2" t="s">
        <v>154</v>
      </c>
      <c r="B155" s="2" t="s">
        <v>181</v>
      </c>
      <c r="C155" s="2"/>
      <c r="D155" s="3" t="n">
        <v>11500</v>
      </c>
      <c r="E155" s="3" t="n">
        <v>11650</v>
      </c>
      <c r="F155" s="2"/>
      <c r="G155" s="2"/>
      <c r="H155" s="3" t="n">
        <v>8050</v>
      </c>
      <c r="I155" s="3" t="n">
        <v>8155</v>
      </c>
      <c r="J155" s="2"/>
    </row>
    <row r="156" customFormat="false" ht="15" hidden="false" customHeight="false" outlineLevel="0" collapsed="false">
      <c r="A156" s="2" t="s">
        <v>154</v>
      </c>
      <c r="B156" s="2" t="s">
        <v>182</v>
      </c>
      <c r="C156" s="2"/>
      <c r="D156" s="3" t="n">
        <v>18300</v>
      </c>
      <c r="E156" s="3" t="n">
        <v>18450</v>
      </c>
      <c r="F156" s="2"/>
      <c r="G156" s="2"/>
      <c r="H156" s="3" t="n">
        <v>12810</v>
      </c>
      <c r="I156" s="3" t="n">
        <v>12915</v>
      </c>
      <c r="J156" s="2"/>
    </row>
    <row r="157" customFormat="false" ht="15" hidden="false" customHeight="false" outlineLevel="0" collapsed="false">
      <c r="A157" s="2" t="s">
        <v>154</v>
      </c>
      <c r="B157" s="2" t="s">
        <v>183</v>
      </c>
      <c r="C157" s="2"/>
      <c r="D157" s="3" t="n">
        <v>23000</v>
      </c>
      <c r="E157" s="3" t="n">
        <v>23150</v>
      </c>
      <c r="F157" s="2"/>
      <c r="G157" s="2"/>
      <c r="H157" s="3" t="n">
        <v>16100</v>
      </c>
      <c r="I157" s="3" t="n">
        <v>16205</v>
      </c>
      <c r="J157" s="2"/>
    </row>
    <row r="158" customFormat="false" ht="15" hidden="false" customHeight="false" outlineLevel="0" collapsed="false">
      <c r="A158" s="2" t="s">
        <v>154</v>
      </c>
      <c r="B158" s="2" t="s">
        <v>184</v>
      </c>
      <c r="C158" s="2"/>
      <c r="D158" s="3" t="n">
        <v>13000</v>
      </c>
      <c r="E158" s="3" t="n">
        <v>13150</v>
      </c>
      <c r="F158" s="2"/>
      <c r="G158" s="2"/>
      <c r="H158" s="3" t="n">
        <v>9100</v>
      </c>
      <c r="I158" s="3" t="n">
        <v>9205</v>
      </c>
      <c r="J158" s="2"/>
    </row>
    <row r="159" customFormat="false" ht="15" hidden="false" customHeight="false" outlineLevel="0" collapsed="false">
      <c r="A159" s="2" t="s">
        <v>154</v>
      </c>
      <c r="B159" s="2" t="s">
        <v>185</v>
      </c>
      <c r="C159" s="2"/>
      <c r="D159" s="3" t="n">
        <v>20500</v>
      </c>
      <c r="E159" s="3" t="n">
        <v>22000</v>
      </c>
      <c r="F159" s="2"/>
      <c r="G159" s="2"/>
      <c r="H159" s="3" t="n">
        <v>14350</v>
      </c>
      <c r="I159" s="3" t="n">
        <v>15400</v>
      </c>
      <c r="J159" s="2"/>
    </row>
    <row r="160" customFormat="false" ht="15" hidden="false" customHeight="false" outlineLevel="0" collapsed="false">
      <c r="A160" s="2" t="s">
        <v>154</v>
      </c>
      <c r="B160" s="2" t="s">
        <v>186</v>
      </c>
      <c r="C160" s="2"/>
      <c r="D160" s="3" t="n">
        <v>25525</v>
      </c>
      <c r="E160" s="3" t="n">
        <v>25675</v>
      </c>
      <c r="F160" s="2"/>
      <c r="G160" s="2"/>
      <c r="H160" s="3" t="n">
        <v>17867.5</v>
      </c>
      <c r="I160" s="3" t="n">
        <v>17972.5</v>
      </c>
      <c r="J160" s="2"/>
    </row>
    <row r="161" customFormat="false" ht="15" hidden="false" customHeight="false" outlineLevel="0" collapsed="false">
      <c r="A161" s="2" t="s">
        <v>154</v>
      </c>
      <c r="B161" s="2" t="s">
        <v>187</v>
      </c>
      <c r="C161" s="2"/>
      <c r="D161" s="3" t="n">
        <v>16500</v>
      </c>
      <c r="E161" s="3" t="n">
        <v>16650</v>
      </c>
      <c r="F161" s="2"/>
      <c r="G161" s="2"/>
      <c r="H161" s="3" t="n">
        <v>11550</v>
      </c>
      <c r="I161" s="3" t="n">
        <v>11655</v>
      </c>
      <c r="J161" s="2"/>
    </row>
    <row r="162" customFormat="false" ht="15" hidden="false" customHeight="false" outlineLevel="0" collapsed="false">
      <c r="A162" s="2" t="s">
        <v>154</v>
      </c>
      <c r="B162" s="2" t="s">
        <v>188</v>
      </c>
      <c r="C162" s="2"/>
      <c r="D162" s="3" t="n">
        <v>23500</v>
      </c>
      <c r="E162" s="3" t="n">
        <v>23650</v>
      </c>
      <c r="F162" s="2"/>
      <c r="G162" s="2"/>
      <c r="H162" s="3" t="n">
        <v>16450</v>
      </c>
      <c r="I162" s="3" t="n">
        <v>16555</v>
      </c>
      <c r="J162" s="2"/>
    </row>
    <row r="163" customFormat="false" ht="15" hidden="false" customHeight="false" outlineLevel="0" collapsed="false">
      <c r="A163" s="2" t="s">
        <v>154</v>
      </c>
      <c r="B163" s="2" t="s">
        <v>189</v>
      </c>
      <c r="C163" s="2"/>
      <c r="D163" s="3" t="n">
        <v>29500</v>
      </c>
      <c r="E163" s="3" t="n">
        <v>29650</v>
      </c>
      <c r="F163" s="2"/>
      <c r="G163" s="2"/>
      <c r="H163" s="3" t="n">
        <v>20650</v>
      </c>
      <c r="I163" s="3" t="n">
        <v>20755</v>
      </c>
      <c r="J163" s="2"/>
    </row>
    <row r="164" customFormat="false" ht="15" hidden="false" customHeight="false" outlineLevel="0" collapsed="false">
      <c r="A164" s="2" t="s">
        <v>154</v>
      </c>
      <c r="B164" s="2" t="s">
        <v>190</v>
      </c>
      <c r="C164" s="2"/>
      <c r="D164" s="3" t="n">
        <v>36000</v>
      </c>
      <c r="E164" s="3" t="n">
        <v>36500</v>
      </c>
      <c r="F164" s="2"/>
      <c r="G164" s="2"/>
      <c r="H164" s="3" t="n">
        <v>25200</v>
      </c>
      <c r="I164" s="3" t="n">
        <v>25550</v>
      </c>
      <c r="J164" s="2"/>
    </row>
    <row r="165" customFormat="false" ht="15" hidden="false" customHeight="false" outlineLevel="0" collapsed="false">
      <c r="A165" s="2" t="s">
        <v>154</v>
      </c>
      <c r="B165" s="2" t="s">
        <v>191</v>
      </c>
      <c r="C165" s="2"/>
      <c r="D165" s="3" t="n">
        <v>19500</v>
      </c>
      <c r="E165" s="3" t="n">
        <v>19650</v>
      </c>
      <c r="F165" s="2"/>
      <c r="G165" s="2"/>
      <c r="H165" s="3" t="n">
        <v>13650</v>
      </c>
      <c r="I165" s="3" t="n">
        <v>13755</v>
      </c>
      <c r="J165" s="2"/>
    </row>
    <row r="166" customFormat="false" ht="15" hidden="false" customHeight="false" outlineLevel="0" collapsed="false">
      <c r="A166" s="2" t="s">
        <v>154</v>
      </c>
      <c r="B166" s="2" t="s">
        <v>192</v>
      </c>
      <c r="C166" s="2"/>
      <c r="D166" s="3" t="n">
        <v>19150</v>
      </c>
      <c r="E166" s="3" t="n">
        <v>19300</v>
      </c>
      <c r="F166" s="2"/>
      <c r="G166" s="2"/>
      <c r="H166" s="3" t="n">
        <v>13405</v>
      </c>
      <c r="I166" s="3" t="n">
        <v>13510</v>
      </c>
      <c r="J166" s="2"/>
    </row>
    <row r="167" customFormat="false" ht="15" hidden="false" customHeight="false" outlineLevel="0" collapsed="false">
      <c r="A167" s="2" t="s">
        <v>154</v>
      </c>
      <c r="B167" s="2" t="s">
        <v>193</v>
      </c>
      <c r="C167" s="2"/>
      <c r="D167" s="3" t="n">
        <v>27250</v>
      </c>
      <c r="E167" s="3" t="n">
        <v>27400</v>
      </c>
      <c r="F167" s="2"/>
      <c r="G167" s="2"/>
      <c r="H167" s="3" t="n">
        <v>19075</v>
      </c>
      <c r="I167" s="3" t="n">
        <v>19180</v>
      </c>
      <c r="J167" s="2"/>
    </row>
    <row r="168" customFormat="false" ht="15" hidden="false" customHeight="false" outlineLevel="0" collapsed="false">
      <c r="A168" s="2" t="s">
        <v>154</v>
      </c>
      <c r="B168" s="2" t="s">
        <v>194</v>
      </c>
      <c r="C168" s="2"/>
      <c r="D168" s="3" t="n">
        <v>34100</v>
      </c>
      <c r="E168" s="3" t="n">
        <v>34250</v>
      </c>
      <c r="F168" s="2"/>
      <c r="G168" s="2"/>
      <c r="H168" s="3" t="n">
        <v>23870</v>
      </c>
      <c r="I168" s="3" t="n">
        <v>23975</v>
      </c>
      <c r="J168" s="2"/>
    </row>
    <row r="169" customFormat="false" ht="15" hidden="false" customHeight="false" outlineLevel="0" collapsed="false">
      <c r="A169" s="2" t="s">
        <v>154</v>
      </c>
      <c r="B169" s="2" t="s">
        <v>195</v>
      </c>
      <c r="C169" s="2"/>
      <c r="D169" s="3" t="n">
        <v>22000</v>
      </c>
      <c r="E169" s="3" t="n">
        <v>22150</v>
      </c>
      <c r="F169" s="2"/>
      <c r="G169" s="2"/>
      <c r="H169" s="3" t="n">
        <v>15400</v>
      </c>
      <c r="I169" s="3" t="n">
        <v>15505</v>
      </c>
      <c r="J169" s="2"/>
    </row>
    <row r="170" customFormat="false" ht="15" hidden="false" customHeight="false" outlineLevel="0" collapsed="false">
      <c r="A170" s="2" t="s">
        <v>154</v>
      </c>
      <c r="B170" s="2" t="s">
        <v>196</v>
      </c>
      <c r="C170" s="2"/>
      <c r="D170" s="3" t="n">
        <v>29950</v>
      </c>
      <c r="E170" s="3" t="n">
        <v>30100</v>
      </c>
      <c r="F170" s="2"/>
      <c r="G170" s="2"/>
      <c r="H170" s="3" t="n">
        <v>20965</v>
      </c>
      <c r="I170" s="3" t="n">
        <v>21070</v>
      </c>
      <c r="J170" s="2"/>
    </row>
    <row r="171" customFormat="false" ht="15" hidden="false" customHeight="false" outlineLevel="0" collapsed="false">
      <c r="A171" s="2" t="s">
        <v>154</v>
      </c>
      <c r="B171" s="2" t="s">
        <v>197</v>
      </c>
      <c r="C171" s="2"/>
      <c r="D171" s="3" t="n">
        <v>37500</v>
      </c>
      <c r="E171" s="3" t="n">
        <v>37650</v>
      </c>
      <c r="F171" s="2"/>
      <c r="G171" s="2"/>
      <c r="H171" s="3" t="n">
        <v>26250</v>
      </c>
      <c r="I171" s="3" t="n">
        <v>26355</v>
      </c>
      <c r="J171" s="2"/>
    </row>
    <row r="172" customFormat="false" ht="15" hidden="false" customHeight="false" outlineLevel="0" collapsed="false">
      <c r="A172" s="2" t="s">
        <v>198</v>
      </c>
      <c r="B172" s="2" t="s">
        <v>199</v>
      </c>
      <c r="C172" s="2"/>
      <c r="D172" s="3" t="n">
        <v>33000</v>
      </c>
      <c r="E172" s="3" t="n">
        <v>33150</v>
      </c>
      <c r="F172" s="2"/>
      <c r="G172" s="2"/>
      <c r="H172" s="3" t="n">
        <v>23100</v>
      </c>
      <c r="I172" s="3" t="n">
        <v>23205</v>
      </c>
      <c r="J172" s="2"/>
    </row>
    <row r="173" customFormat="false" ht="15" hidden="false" customHeight="false" outlineLevel="0" collapsed="false">
      <c r="A173" s="2" t="s">
        <v>198</v>
      </c>
      <c r="B173" s="2" t="s">
        <v>200</v>
      </c>
      <c r="C173" s="2"/>
      <c r="D173" s="3" t="n">
        <v>41500</v>
      </c>
      <c r="E173" s="3" t="n">
        <v>41650</v>
      </c>
      <c r="F173" s="2"/>
      <c r="G173" s="2"/>
      <c r="H173" s="3" t="n">
        <v>29050</v>
      </c>
      <c r="I173" s="3" t="n">
        <v>29155</v>
      </c>
      <c r="J173" s="2"/>
    </row>
    <row r="174" customFormat="false" ht="15" hidden="false" customHeight="false" outlineLevel="0" collapsed="false">
      <c r="A174" s="2" t="s">
        <v>198</v>
      </c>
      <c r="B174" s="2" t="s">
        <v>201</v>
      </c>
      <c r="C174" s="2"/>
      <c r="D174" s="3" t="n">
        <v>37000</v>
      </c>
      <c r="E174" s="3" t="n">
        <v>37150</v>
      </c>
      <c r="F174" s="2"/>
      <c r="G174" s="2"/>
      <c r="H174" s="3" t="n">
        <v>25900</v>
      </c>
      <c r="I174" s="3" t="n">
        <v>26005</v>
      </c>
      <c r="J174" s="2"/>
    </row>
    <row r="175" customFormat="false" ht="15" hidden="false" customHeight="false" outlineLevel="0" collapsed="false">
      <c r="A175" s="2" t="s">
        <v>198</v>
      </c>
      <c r="B175" s="2" t="s">
        <v>202</v>
      </c>
      <c r="C175" s="2"/>
      <c r="D175" s="3" t="n">
        <v>46000</v>
      </c>
      <c r="E175" s="3" t="n">
        <v>46150</v>
      </c>
      <c r="F175" s="2"/>
      <c r="G175" s="2"/>
      <c r="H175" s="3" t="n">
        <v>32200</v>
      </c>
      <c r="I175" s="3" t="n">
        <v>32305</v>
      </c>
      <c r="J175" s="2"/>
    </row>
    <row r="176" customFormat="false" ht="15" hidden="false" customHeight="false" outlineLevel="0" collapsed="false">
      <c r="A176" s="2" t="s">
        <v>203</v>
      </c>
      <c r="B176" s="2" t="s">
        <v>204</v>
      </c>
      <c r="C176" s="2"/>
      <c r="D176" s="2"/>
      <c r="E176" s="2"/>
      <c r="F176" s="3" t="n">
        <v>3500</v>
      </c>
      <c r="G176" s="2"/>
      <c r="H176" s="2"/>
      <c r="I176" s="2"/>
      <c r="J176" s="3" t="n">
        <v>2100</v>
      </c>
    </row>
    <row r="177" customFormat="false" ht="15" hidden="false" customHeight="false" outlineLevel="0" collapsed="false">
      <c r="A177" s="2" t="s">
        <v>203</v>
      </c>
      <c r="B177" s="2" t="s">
        <v>206</v>
      </c>
      <c r="C177" s="2"/>
      <c r="D177" s="2"/>
      <c r="E177" s="2"/>
      <c r="F177" s="3" t="n">
        <v>5000</v>
      </c>
      <c r="G177" s="2"/>
      <c r="H177" s="2"/>
      <c r="I177" s="2"/>
      <c r="J177" s="3" t="n">
        <v>3000</v>
      </c>
    </row>
    <row r="178" customFormat="false" ht="15" hidden="false" customHeight="false" outlineLevel="0" collapsed="false">
      <c r="A178" s="2" t="s">
        <v>203</v>
      </c>
      <c r="B178" s="2" t="s">
        <v>207</v>
      </c>
      <c r="C178" s="2"/>
      <c r="D178" s="2"/>
      <c r="E178" s="2"/>
      <c r="F178" s="3" t="n">
        <v>6500</v>
      </c>
      <c r="G178" s="2"/>
      <c r="H178" s="2"/>
      <c r="I178" s="2"/>
      <c r="J178" s="3" t="n">
        <v>3900</v>
      </c>
    </row>
    <row r="179" customFormat="false" ht="15" hidden="false" customHeight="false" outlineLevel="0" collapsed="false">
      <c r="A179" s="2" t="s">
        <v>203</v>
      </c>
      <c r="B179" s="2" t="s">
        <v>208</v>
      </c>
      <c r="C179" s="2"/>
      <c r="D179" s="2"/>
      <c r="E179" s="2"/>
      <c r="F179" s="3" t="n">
        <v>3000</v>
      </c>
      <c r="G179" s="2"/>
      <c r="H179" s="2"/>
      <c r="I179" s="2"/>
      <c r="J179" s="3" t="n">
        <v>1800</v>
      </c>
    </row>
    <row r="180" customFormat="false" ht="15" hidden="false" customHeight="false" outlineLevel="0" collapsed="false">
      <c r="A180" s="2" t="s">
        <v>203</v>
      </c>
      <c r="B180" s="2" t="s">
        <v>209</v>
      </c>
      <c r="C180" s="2"/>
      <c r="D180" s="2"/>
      <c r="E180" s="2"/>
      <c r="F180" s="3" t="n">
        <v>4000</v>
      </c>
      <c r="G180" s="2"/>
      <c r="H180" s="2"/>
      <c r="I180" s="2"/>
      <c r="J180" s="3" t="n">
        <v>2400</v>
      </c>
    </row>
    <row r="181" customFormat="false" ht="15" hidden="false" customHeight="false" outlineLevel="0" collapsed="false">
      <c r="A181" s="2" t="s">
        <v>203</v>
      </c>
      <c r="B181" s="2" t="s">
        <v>210</v>
      </c>
      <c r="C181" s="2"/>
      <c r="D181" s="2"/>
      <c r="E181" s="2"/>
      <c r="F181" s="3" t="n">
        <v>4250</v>
      </c>
      <c r="G181" s="2"/>
      <c r="H181" s="2"/>
      <c r="I181" s="2"/>
      <c r="J181" s="3" t="n">
        <v>2550</v>
      </c>
    </row>
    <row r="182" customFormat="false" ht="15" hidden="false" customHeight="false" outlineLevel="0" collapsed="false">
      <c r="A182" s="2" t="s">
        <v>203</v>
      </c>
      <c r="B182" s="2" t="s">
        <v>211</v>
      </c>
      <c r="C182" s="2"/>
      <c r="D182" s="2"/>
      <c r="E182" s="2"/>
      <c r="F182" s="3" t="n">
        <v>5200</v>
      </c>
      <c r="G182" s="2"/>
      <c r="H182" s="2"/>
      <c r="I182" s="2"/>
      <c r="J182" s="3" t="n">
        <v>3120</v>
      </c>
    </row>
    <row r="183" customFormat="false" ht="15" hidden="false" customHeight="false" outlineLevel="0" collapsed="false">
      <c r="A183" s="2" t="s">
        <v>203</v>
      </c>
      <c r="B183" s="2" t="s">
        <v>212</v>
      </c>
      <c r="C183" s="2"/>
      <c r="D183" s="2"/>
      <c r="E183" s="2"/>
      <c r="F183" s="3" t="n">
        <v>5450</v>
      </c>
      <c r="G183" s="2"/>
      <c r="H183" s="2"/>
      <c r="I183" s="2"/>
      <c r="J183" s="3" t="n">
        <v>3270</v>
      </c>
    </row>
    <row r="184" customFormat="false" ht="15" hidden="false" customHeight="false" outlineLevel="0" collapsed="false">
      <c r="A184" s="2" t="s">
        <v>213</v>
      </c>
      <c r="B184" s="2" t="s">
        <v>214</v>
      </c>
      <c r="C184" s="2"/>
      <c r="D184" s="2"/>
      <c r="E184" s="2"/>
      <c r="F184" s="3" t="n">
        <v>11800</v>
      </c>
      <c r="G184" s="2"/>
      <c r="H184" s="2"/>
      <c r="I184" s="2"/>
      <c r="J184" s="3" t="n">
        <v>8260</v>
      </c>
    </row>
    <row r="185" customFormat="false" ht="15" hidden="false" customHeight="false" outlineLevel="0" collapsed="false">
      <c r="A185" s="2" t="s">
        <v>213</v>
      </c>
      <c r="B185" s="2" t="s">
        <v>215</v>
      </c>
      <c r="C185" s="2"/>
      <c r="D185" s="2"/>
      <c r="E185" s="2"/>
      <c r="F185" s="3" t="n">
        <v>15150</v>
      </c>
      <c r="G185" s="2"/>
      <c r="H185" s="2"/>
      <c r="I185" s="2"/>
      <c r="J185" s="3" t="n">
        <v>10605</v>
      </c>
    </row>
    <row r="186" customFormat="false" ht="15" hidden="false" customHeight="false" outlineLevel="0" collapsed="false">
      <c r="A186" s="2" t="s">
        <v>213</v>
      </c>
      <c r="B186" s="2" t="s">
        <v>216</v>
      </c>
      <c r="C186" s="2"/>
      <c r="D186" s="2"/>
      <c r="E186" s="2"/>
      <c r="F186" s="3" t="n">
        <v>12300</v>
      </c>
      <c r="G186" s="2"/>
      <c r="H186" s="2"/>
      <c r="I186" s="2"/>
      <c r="J186" s="3" t="n">
        <v>8610</v>
      </c>
    </row>
    <row r="187" customFormat="false" ht="15" hidden="false" customHeight="false" outlineLevel="0" collapsed="false">
      <c r="A187" s="2" t="s">
        <v>213</v>
      </c>
      <c r="B187" s="2" t="s">
        <v>217</v>
      </c>
      <c r="C187" s="2"/>
      <c r="D187" s="2"/>
      <c r="E187" s="2"/>
      <c r="F187" s="3" t="n">
        <v>15500</v>
      </c>
      <c r="G187" s="2"/>
      <c r="H187" s="2"/>
      <c r="I187" s="2"/>
      <c r="J187" s="3" t="n">
        <v>10850</v>
      </c>
    </row>
    <row r="188" customFormat="false" ht="15" hidden="false" customHeight="false" outlineLevel="0" collapsed="false">
      <c r="A188" s="2" t="s">
        <v>213</v>
      </c>
      <c r="B188" s="2" t="s">
        <v>218</v>
      </c>
      <c r="C188" s="2"/>
      <c r="D188" s="2"/>
      <c r="E188" s="2"/>
      <c r="F188" s="3" t="n">
        <v>14500</v>
      </c>
      <c r="G188" s="2"/>
      <c r="H188" s="2"/>
      <c r="I188" s="2"/>
      <c r="J188" s="3" t="n">
        <v>10150</v>
      </c>
    </row>
    <row r="189" customFormat="false" ht="15" hidden="false" customHeight="false" outlineLevel="0" collapsed="false">
      <c r="A189" s="2" t="s">
        <v>213</v>
      </c>
      <c r="B189" s="2" t="s">
        <v>219</v>
      </c>
      <c r="C189" s="2"/>
      <c r="D189" s="2"/>
      <c r="E189" s="2"/>
      <c r="F189" s="3" t="n">
        <v>17250</v>
      </c>
      <c r="G189" s="2"/>
      <c r="H189" s="2"/>
      <c r="I189" s="2"/>
      <c r="J189" s="3" t="n">
        <v>12075</v>
      </c>
    </row>
    <row r="190" customFormat="false" ht="15" hidden="false" customHeight="false" outlineLevel="0" collapsed="false">
      <c r="A190" s="2" t="s">
        <v>213</v>
      </c>
      <c r="B190" s="2" t="s">
        <v>220</v>
      </c>
      <c r="C190" s="2"/>
      <c r="D190" s="2"/>
      <c r="E190" s="2"/>
      <c r="F190" s="3" t="n">
        <v>16500</v>
      </c>
      <c r="G190" s="2"/>
      <c r="H190" s="2"/>
      <c r="I190" s="2"/>
      <c r="J190" s="3" t="n">
        <v>11550</v>
      </c>
    </row>
    <row r="191" customFormat="false" ht="15" hidden="false" customHeight="false" outlineLevel="0" collapsed="false">
      <c r="A191" s="2" t="s">
        <v>213</v>
      </c>
      <c r="B191" s="2" t="s">
        <v>221</v>
      </c>
      <c r="C191" s="2"/>
      <c r="D191" s="2"/>
      <c r="E191" s="2"/>
      <c r="F191" s="3" t="n">
        <v>20500</v>
      </c>
      <c r="G191" s="2"/>
      <c r="H191" s="2"/>
      <c r="I191" s="2"/>
      <c r="J191" s="3" t="n">
        <v>14350</v>
      </c>
    </row>
    <row r="192" customFormat="false" ht="15" hidden="false" customHeight="false" outlineLevel="0" collapsed="false">
      <c r="A192" s="2" t="s">
        <v>213</v>
      </c>
      <c r="B192" s="2" t="s">
        <v>222</v>
      </c>
      <c r="C192" s="2"/>
      <c r="D192" s="2"/>
      <c r="E192" s="2"/>
      <c r="F192" s="3" t="n">
        <v>19950</v>
      </c>
      <c r="G192" s="2"/>
      <c r="H192" s="2"/>
      <c r="I192" s="2"/>
      <c r="J192" s="3" t="n">
        <v>13965</v>
      </c>
    </row>
    <row r="193" customFormat="false" ht="15" hidden="false" customHeight="false" outlineLevel="0" collapsed="false">
      <c r="A193" s="2" t="s">
        <v>213</v>
      </c>
      <c r="B193" s="2" t="s">
        <v>223</v>
      </c>
      <c r="C193" s="2"/>
      <c r="D193" s="2"/>
      <c r="E193" s="2"/>
      <c r="F193" s="3" t="n">
        <v>25000</v>
      </c>
      <c r="G193" s="2"/>
      <c r="H193" s="2"/>
      <c r="I193" s="2"/>
      <c r="J193" s="3" t="n">
        <v>17500</v>
      </c>
    </row>
    <row r="194" customFormat="false" ht="15" hidden="false" customHeight="false" outlineLevel="0" collapsed="false">
      <c r="A194" s="2" t="s">
        <v>213</v>
      </c>
      <c r="B194" s="2" t="s">
        <v>224</v>
      </c>
      <c r="C194" s="2"/>
      <c r="D194" s="2"/>
      <c r="E194" s="2"/>
      <c r="F194" s="3" t="n">
        <v>22550</v>
      </c>
      <c r="G194" s="2"/>
      <c r="H194" s="2"/>
      <c r="I194" s="2"/>
      <c r="J194" s="3" t="n">
        <v>15785</v>
      </c>
    </row>
    <row r="195" customFormat="false" ht="15" hidden="false" customHeight="false" outlineLevel="0" collapsed="false">
      <c r="A195" s="2" t="s">
        <v>213</v>
      </c>
      <c r="B195" s="2" t="s">
        <v>225</v>
      </c>
      <c r="C195" s="2"/>
      <c r="D195" s="2"/>
      <c r="E195" s="2"/>
      <c r="F195" s="3" t="n">
        <v>28200</v>
      </c>
      <c r="G195" s="2"/>
      <c r="H195" s="2"/>
      <c r="I195" s="2"/>
      <c r="J195" s="3" t="n">
        <v>19740</v>
      </c>
    </row>
    <row r="196" customFormat="false" ht="15" hidden="false" customHeight="false" outlineLevel="0" collapsed="false">
      <c r="A196" s="2" t="s">
        <v>213</v>
      </c>
      <c r="B196" s="2" t="s">
        <v>226</v>
      </c>
      <c r="C196" s="2"/>
      <c r="D196" s="2"/>
      <c r="E196" s="2"/>
      <c r="F196" s="3" t="n">
        <v>25500</v>
      </c>
      <c r="G196" s="2"/>
      <c r="H196" s="2"/>
      <c r="I196" s="2"/>
      <c r="J196" s="3" t="n">
        <v>17850</v>
      </c>
    </row>
    <row r="197" customFormat="false" ht="15" hidden="false" customHeight="false" outlineLevel="0" collapsed="false">
      <c r="A197" s="2" t="s">
        <v>213</v>
      </c>
      <c r="B197" s="2" t="s">
        <v>227</v>
      </c>
      <c r="C197" s="2"/>
      <c r="D197" s="2"/>
      <c r="E197" s="2"/>
      <c r="F197" s="3" t="n">
        <v>31500</v>
      </c>
      <c r="G197" s="2"/>
      <c r="H197" s="2"/>
      <c r="I197" s="2"/>
      <c r="J197" s="3" t="n">
        <v>22050</v>
      </c>
    </row>
    <row r="198" customFormat="false" ht="15" hidden="false" customHeight="false" outlineLevel="0" collapsed="false">
      <c r="A198" s="2" t="s">
        <v>213</v>
      </c>
      <c r="B198" s="2" t="s">
        <v>228</v>
      </c>
      <c r="C198" s="2"/>
      <c r="D198" s="2"/>
      <c r="E198" s="2"/>
      <c r="F198" s="3" t="n">
        <v>30975</v>
      </c>
      <c r="G198" s="2"/>
      <c r="H198" s="2"/>
      <c r="I198" s="2"/>
      <c r="J198" s="3" t="n">
        <v>21682.5</v>
      </c>
    </row>
    <row r="199" customFormat="false" ht="15" hidden="false" customHeight="false" outlineLevel="0" collapsed="false">
      <c r="A199" s="2" t="s">
        <v>213</v>
      </c>
      <c r="B199" s="2" t="s">
        <v>229</v>
      </c>
      <c r="C199" s="2"/>
      <c r="D199" s="2"/>
      <c r="E199" s="2"/>
      <c r="F199" s="3" t="n">
        <v>38950</v>
      </c>
      <c r="G199" s="2"/>
      <c r="H199" s="2"/>
      <c r="I199" s="2"/>
      <c r="J199" s="3" t="n">
        <v>27265</v>
      </c>
    </row>
  </sheetData>
  <autoFilter ref="A1:J1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2"/>
    <col collapsed="false" customWidth="true" hidden="false" outlineLevel="0" max="3" min="3" style="0" width="74"/>
    <col collapsed="false" customWidth="true" hidden="false" outlineLevel="0" max="6" min="4" style="0" width="13"/>
  </cols>
  <sheetData>
    <row r="1" customFormat="false" ht="27.75" hidden="false" customHeight="true" outlineLevel="0" collapsed="false">
      <c r="A1" s="1" t="s">
        <v>236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</row>
    <row r="2" customFormat="false" ht="15" hidden="false" customHeight="false" outlineLevel="0" collapsed="false">
      <c r="A2" s="4" t="s">
        <v>17</v>
      </c>
      <c r="B2" s="2" t="s">
        <v>242</v>
      </c>
      <c r="C2" s="5" t="s">
        <v>243</v>
      </c>
      <c r="D2" s="2" t="n">
        <v>12</v>
      </c>
      <c r="E2" s="3" t="n">
        <v>100</v>
      </c>
      <c r="F2" s="3" t="n">
        <v>60</v>
      </c>
    </row>
    <row r="3" customFormat="false" ht="15" hidden="false" customHeight="false" outlineLevel="0" collapsed="false">
      <c r="A3" s="4" t="s">
        <v>17</v>
      </c>
      <c r="B3" s="2" t="s">
        <v>244</v>
      </c>
      <c r="C3" s="5" t="s">
        <v>245</v>
      </c>
      <c r="D3" s="2" t="n">
        <v>12</v>
      </c>
      <c r="E3" s="3" t="n">
        <v>108</v>
      </c>
      <c r="F3" s="3" t="n">
        <v>64.8</v>
      </c>
    </row>
    <row r="4" customFormat="false" ht="15" hidden="false" customHeight="false" outlineLevel="0" collapsed="false">
      <c r="A4" s="4" t="s">
        <v>17</v>
      </c>
      <c r="B4" s="2" t="s">
        <v>246</v>
      </c>
      <c r="C4" s="5" t="s">
        <v>247</v>
      </c>
      <c r="D4" s="2" t="n">
        <v>12</v>
      </c>
      <c r="E4" s="3" t="n">
        <v>115</v>
      </c>
      <c r="F4" s="3" t="n">
        <v>69</v>
      </c>
    </row>
    <row r="5" customFormat="false" ht="15" hidden="false" customHeight="false" outlineLevel="0" collapsed="false">
      <c r="A5" s="4" t="s">
        <v>17</v>
      </c>
      <c r="B5" s="2" t="s">
        <v>248</v>
      </c>
      <c r="C5" s="5" t="s">
        <v>249</v>
      </c>
      <c r="D5" s="2" t="n">
        <v>20</v>
      </c>
      <c r="E5" s="3" t="n">
        <v>160</v>
      </c>
      <c r="F5" s="3" t="n">
        <v>96</v>
      </c>
    </row>
    <row r="6" customFormat="false" ht="15" hidden="false" customHeight="false" outlineLevel="0" collapsed="false">
      <c r="A6" s="4" t="s">
        <v>17</v>
      </c>
      <c r="B6" s="2" t="s">
        <v>250</v>
      </c>
      <c r="C6" s="5" t="s">
        <v>251</v>
      </c>
      <c r="D6" s="2" t="n">
        <v>30</v>
      </c>
      <c r="E6" s="3" t="n">
        <v>260</v>
      </c>
      <c r="F6" s="3" t="n">
        <v>156</v>
      </c>
    </row>
    <row r="7" customFormat="false" ht="15" hidden="false" customHeight="false" outlineLevel="0" collapsed="false">
      <c r="A7" s="4" t="s">
        <v>17</v>
      </c>
      <c r="B7" s="2" t="s">
        <v>21</v>
      </c>
      <c r="C7" s="5" t="s">
        <v>252</v>
      </c>
      <c r="D7" s="2" t="n">
        <v>10</v>
      </c>
      <c r="E7" s="3" t="n">
        <v>128</v>
      </c>
      <c r="F7" s="3" t="n">
        <v>76.8</v>
      </c>
    </row>
    <row r="8" customFormat="false" ht="15" hidden="false" customHeight="false" outlineLevel="0" collapsed="false">
      <c r="A8" s="4" t="s">
        <v>17</v>
      </c>
      <c r="B8" s="2" t="s">
        <v>253</v>
      </c>
      <c r="C8" s="5" t="s">
        <v>254</v>
      </c>
      <c r="D8" s="2" t="n">
        <v>25</v>
      </c>
      <c r="E8" s="3" t="n">
        <v>185</v>
      </c>
      <c r="F8" s="3" t="n">
        <v>111</v>
      </c>
    </row>
    <row r="9" customFormat="false" ht="15" hidden="false" customHeight="false" outlineLevel="0" collapsed="false">
      <c r="A9" s="4" t="s">
        <v>17</v>
      </c>
      <c r="B9" s="2" t="s">
        <v>255</v>
      </c>
      <c r="C9" s="5" t="s">
        <v>256</v>
      </c>
      <c r="D9" s="2" t="n">
        <v>45</v>
      </c>
      <c r="E9" s="3" t="n">
        <v>205</v>
      </c>
      <c r="F9" s="3" t="n">
        <v>123</v>
      </c>
    </row>
    <row r="10" customFormat="false" ht="15" hidden="false" customHeight="false" outlineLevel="0" collapsed="false">
      <c r="A10" s="4" t="s">
        <v>17</v>
      </c>
      <c r="B10" s="2" t="s">
        <v>257</v>
      </c>
      <c r="C10" s="5" t="s">
        <v>258</v>
      </c>
      <c r="D10" s="2" t="n">
        <v>55</v>
      </c>
      <c r="E10" s="3" t="n">
        <v>215</v>
      </c>
      <c r="F10" s="3" t="n">
        <v>129</v>
      </c>
    </row>
    <row r="11" customFormat="false" ht="15" hidden="false" customHeight="false" outlineLevel="0" collapsed="false">
      <c r="A11" s="4" t="s">
        <v>37</v>
      </c>
      <c r="B11" s="2" t="s">
        <v>259</v>
      </c>
      <c r="C11" s="5" t="s">
        <v>260</v>
      </c>
      <c r="D11" s="2" t="n">
        <v>20</v>
      </c>
      <c r="E11" s="3" t="n">
        <v>145</v>
      </c>
      <c r="F11" s="3" t="n">
        <v>87</v>
      </c>
    </row>
    <row r="12" customFormat="false" ht="15" hidden="false" customHeight="false" outlineLevel="0" collapsed="false">
      <c r="A12" s="4" t="s">
        <v>37</v>
      </c>
      <c r="B12" s="2" t="s">
        <v>40</v>
      </c>
      <c r="C12" s="5" t="s">
        <v>261</v>
      </c>
      <c r="D12" s="2" t="n">
        <v>22</v>
      </c>
      <c r="E12" s="3" t="n">
        <v>180</v>
      </c>
      <c r="F12" s="3" t="n">
        <v>108</v>
      </c>
    </row>
    <row r="13" customFormat="false" ht="15" hidden="false" customHeight="false" outlineLevel="0" collapsed="false">
      <c r="A13" s="4" t="s">
        <v>37</v>
      </c>
      <c r="B13" s="2" t="s">
        <v>41</v>
      </c>
      <c r="C13" s="5" t="s">
        <v>262</v>
      </c>
      <c r="D13" s="2" t="n">
        <v>22</v>
      </c>
      <c r="E13" s="3" t="n">
        <v>180</v>
      </c>
      <c r="F13" s="3" t="n">
        <v>108</v>
      </c>
    </row>
    <row r="14" customFormat="false" ht="15" hidden="false" customHeight="false" outlineLevel="0" collapsed="false">
      <c r="A14" s="4" t="s">
        <v>37</v>
      </c>
      <c r="B14" s="2" t="s">
        <v>42</v>
      </c>
      <c r="C14" s="5" t="s">
        <v>263</v>
      </c>
      <c r="D14" s="2" t="n">
        <v>25</v>
      </c>
      <c r="E14" s="3" t="n">
        <v>215</v>
      </c>
      <c r="F14" s="3" t="n">
        <v>129</v>
      </c>
    </row>
    <row r="15" customFormat="false" ht="15" hidden="false" customHeight="false" outlineLevel="0" collapsed="false">
      <c r="A15" s="4" t="s">
        <v>37</v>
      </c>
      <c r="B15" s="2" t="s">
        <v>43</v>
      </c>
      <c r="C15" s="5" t="s">
        <v>264</v>
      </c>
      <c r="D15" s="2" t="n">
        <v>45</v>
      </c>
      <c r="E15" s="3" t="n">
        <v>270</v>
      </c>
      <c r="F15" s="3" t="n">
        <v>162</v>
      </c>
    </row>
    <row r="16" customFormat="false" ht="15" hidden="false" customHeight="false" outlineLevel="0" collapsed="false">
      <c r="A16" s="4" t="s">
        <v>37</v>
      </c>
      <c r="B16" s="2" t="s">
        <v>44</v>
      </c>
      <c r="C16" s="5" t="s">
        <v>264</v>
      </c>
      <c r="D16" s="2" t="n">
        <v>75</v>
      </c>
      <c r="E16" s="3" t="n">
        <v>310</v>
      </c>
      <c r="F16" s="3" t="n">
        <v>186</v>
      </c>
    </row>
    <row r="17" customFormat="false" ht="15" hidden="false" customHeight="false" outlineLevel="0" collapsed="false">
      <c r="A17" s="4" t="s">
        <v>265</v>
      </c>
      <c r="B17" s="2" t="s">
        <v>46</v>
      </c>
      <c r="C17" s="5" t="s">
        <v>266</v>
      </c>
      <c r="D17" s="2" t="n">
        <v>20</v>
      </c>
      <c r="E17" s="3" t="n">
        <v>165</v>
      </c>
      <c r="F17" s="3" t="n">
        <v>99</v>
      </c>
    </row>
    <row r="18" customFormat="false" ht="15" hidden="false" customHeight="false" outlineLevel="0" collapsed="false">
      <c r="A18" s="4" t="s">
        <v>265</v>
      </c>
      <c r="B18" s="2" t="s">
        <v>47</v>
      </c>
      <c r="C18" s="5" t="s">
        <v>267</v>
      </c>
      <c r="D18" s="2" t="n">
        <v>25</v>
      </c>
      <c r="E18" s="3" t="n">
        <v>205</v>
      </c>
      <c r="F18" s="3" t="n">
        <v>123</v>
      </c>
    </row>
    <row r="19" customFormat="false" ht="15" hidden="false" customHeight="false" outlineLevel="0" collapsed="false">
      <c r="A19" s="4" t="s">
        <v>265</v>
      </c>
      <c r="B19" s="2" t="s">
        <v>268</v>
      </c>
      <c r="C19" s="5" t="s">
        <v>269</v>
      </c>
      <c r="D19" s="2" t="n">
        <v>30</v>
      </c>
      <c r="E19" s="3" t="n">
        <v>200</v>
      </c>
      <c r="F19" s="3" t="n">
        <v>120</v>
      </c>
    </row>
    <row r="20" customFormat="false" ht="15" hidden="false" customHeight="false" outlineLevel="0" collapsed="false">
      <c r="A20" s="4" t="s">
        <v>270</v>
      </c>
      <c r="B20" s="2" t="s">
        <v>253</v>
      </c>
      <c r="C20" s="5" t="s">
        <v>271</v>
      </c>
      <c r="D20" s="2" t="n">
        <v>25</v>
      </c>
      <c r="E20" s="3" t="n">
        <v>185</v>
      </c>
      <c r="F20" s="3" t="n">
        <v>111</v>
      </c>
    </row>
    <row r="21" customFormat="false" ht="15" hidden="false" customHeight="false" outlineLevel="0" collapsed="false">
      <c r="A21" s="4" t="s">
        <v>272</v>
      </c>
      <c r="B21" s="2" t="s">
        <v>257</v>
      </c>
      <c r="C21" s="5" t="s">
        <v>273</v>
      </c>
      <c r="D21" s="2" t="n">
        <v>45</v>
      </c>
      <c r="E21" s="3" t="n">
        <v>225</v>
      </c>
      <c r="F21" s="3" t="n">
        <v>135</v>
      </c>
    </row>
    <row r="22" customFormat="false" ht="23.85" hidden="false" customHeight="false" outlineLevel="0" collapsed="false">
      <c r="A22" s="4" t="s">
        <v>272</v>
      </c>
      <c r="B22" s="2" t="s">
        <v>274</v>
      </c>
      <c r="C22" s="5" t="s">
        <v>275</v>
      </c>
      <c r="D22" s="2" t="n">
        <v>50</v>
      </c>
      <c r="E22" s="3" t="n">
        <v>385</v>
      </c>
      <c r="F22" s="3" t="n">
        <v>231</v>
      </c>
    </row>
    <row r="23" customFormat="false" ht="23.85" hidden="false" customHeight="false" outlineLevel="0" collapsed="false">
      <c r="A23" s="4" t="s">
        <v>276</v>
      </c>
      <c r="B23" s="2" t="s">
        <v>277</v>
      </c>
      <c r="C23" s="5" t="s">
        <v>278</v>
      </c>
      <c r="D23" s="2" t="n">
        <v>85</v>
      </c>
      <c r="E23" s="3" t="n">
        <v>585</v>
      </c>
      <c r="F23" s="3" t="n">
        <v>351</v>
      </c>
    </row>
    <row r="24" customFormat="false" ht="23.85" hidden="false" customHeight="false" outlineLevel="0" collapsed="false">
      <c r="A24" s="4" t="s">
        <v>276</v>
      </c>
      <c r="B24" s="2" t="s">
        <v>279</v>
      </c>
      <c r="C24" s="5" t="s">
        <v>280</v>
      </c>
      <c r="D24" s="2" t="n">
        <v>120</v>
      </c>
      <c r="E24" s="3" t="n">
        <v>630</v>
      </c>
      <c r="F24" s="3" t="n">
        <v>378</v>
      </c>
    </row>
    <row r="25" customFormat="false" ht="15" hidden="false" customHeight="false" outlineLevel="0" collapsed="false">
      <c r="A25" s="4" t="s">
        <v>281</v>
      </c>
      <c r="B25" s="2" t="s">
        <v>282</v>
      </c>
      <c r="C25" s="5" t="s">
        <v>283</v>
      </c>
      <c r="D25" s="2" t="n">
        <v>70</v>
      </c>
      <c r="E25" s="3" t="n">
        <v>315</v>
      </c>
      <c r="F25" s="3" t="n">
        <v>189</v>
      </c>
    </row>
    <row r="26" customFormat="false" ht="15" hidden="false" customHeight="false" outlineLevel="0" collapsed="false">
      <c r="A26" s="4" t="s">
        <v>281</v>
      </c>
      <c r="B26" s="2" t="s">
        <v>284</v>
      </c>
      <c r="C26" s="5" t="s">
        <v>285</v>
      </c>
      <c r="D26" s="2" t="n">
        <v>77</v>
      </c>
      <c r="E26" s="3" t="n">
        <v>385</v>
      </c>
      <c r="F26" s="3" t="n">
        <v>231</v>
      </c>
    </row>
    <row r="27" customFormat="false" ht="15" hidden="false" customHeight="false" outlineLevel="0" collapsed="false">
      <c r="A27" s="4" t="s">
        <v>286</v>
      </c>
      <c r="B27" s="2" t="s">
        <v>287</v>
      </c>
      <c r="C27" s="5" t="s">
        <v>288</v>
      </c>
      <c r="D27" s="2" t="n">
        <v>145</v>
      </c>
      <c r="E27" s="3" t="n">
        <v>820</v>
      </c>
      <c r="F27" s="3" t="n">
        <v>492</v>
      </c>
    </row>
    <row r="28" customFormat="false" ht="15" hidden="false" customHeight="false" outlineLevel="0" collapsed="false">
      <c r="A28" s="4" t="s">
        <v>286</v>
      </c>
      <c r="B28" s="2" t="s">
        <v>289</v>
      </c>
      <c r="C28" s="5" t="s">
        <v>290</v>
      </c>
      <c r="D28" s="2" t="n">
        <v>185</v>
      </c>
      <c r="E28" s="3" t="n">
        <v>880</v>
      </c>
      <c r="F28" s="3" t="n">
        <v>528</v>
      </c>
    </row>
    <row r="29" customFormat="false" ht="15" hidden="false" customHeight="false" outlineLevel="0" collapsed="false">
      <c r="A29" s="4" t="s">
        <v>291</v>
      </c>
      <c r="B29" s="2" t="s">
        <v>292</v>
      </c>
      <c r="C29" s="5" t="s">
        <v>293</v>
      </c>
      <c r="D29" s="2" t="n">
        <v>130</v>
      </c>
      <c r="E29" s="3" t="n">
        <v>685</v>
      </c>
      <c r="F29" s="3" t="n">
        <v>411</v>
      </c>
    </row>
    <row r="30" customFormat="false" ht="15" hidden="false" customHeight="false" outlineLevel="0" collapsed="false">
      <c r="A30" s="4" t="s">
        <v>294</v>
      </c>
      <c r="B30" s="2" t="s">
        <v>295</v>
      </c>
      <c r="C30" s="5" t="s">
        <v>296</v>
      </c>
      <c r="D30" s="2" t="n">
        <v>100</v>
      </c>
      <c r="E30" s="3" t="n">
        <v>745</v>
      </c>
      <c r="F30" s="3" t="n">
        <v>447</v>
      </c>
    </row>
    <row r="31" customFormat="false" ht="23.85" hidden="false" customHeight="false" outlineLevel="0" collapsed="false">
      <c r="A31" s="4" t="s">
        <v>294</v>
      </c>
      <c r="B31" s="2" t="s">
        <v>297</v>
      </c>
      <c r="C31" s="5" t="s">
        <v>298</v>
      </c>
      <c r="D31" s="2" t="n">
        <v>90</v>
      </c>
      <c r="E31" s="3" t="n">
        <v>830</v>
      </c>
      <c r="F31" s="3" t="n">
        <v>498</v>
      </c>
    </row>
    <row r="32" customFormat="false" ht="15" hidden="false" customHeight="false" outlineLevel="0" collapsed="false">
      <c r="A32" s="4" t="s">
        <v>294</v>
      </c>
      <c r="B32" s="2" t="s">
        <v>299</v>
      </c>
      <c r="C32" s="5" t="s">
        <v>300</v>
      </c>
      <c r="D32" s="2" t="n">
        <v>110</v>
      </c>
      <c r="E32" s="3" t="n">
        <v>1015</v>
      </c>
      <c r="F32" s="3" t="n">
        <v>609</v>
      </c>
    </row>
    <row r="33" customFormat="false" ht="23.85" hidden="false" customHeight="false" outlineLevel="0" collapsed="false">
      <c r="A33" s="4" t="s">
        <v>294</v>
      </c>
      <c r="B33" s="2" t="s">
        <v>301</v>
      </c>
      <c r="C33" s="5" t="s">
        <v>302</v>
      </c>
      <c r="D33" s="2" t="n">
        <v>170</v>
      </c>
      <c r="E33" s="3" t="n">
        <v>1140</v>
      </c>
      <c r="F33" s="3" t="n">
        <v>684</v>
      </c>
    </row>
    <row r="34" customFormat="false" ht="15" hidden="false" customHeight="false" outlineLevel="0" collapsed="false">
      <c r="A34" s="4" t="s">
        <v>294</v>
      </c>
      <c r="B34" s="2" t="s">
        <v>303</v>
      </c>
      <c r="C34" s="5" t="s">
        <v>304</v>
      </c>
      <c r="D34" s="2" t="n">
        <v>120</v>
      </c>
      <c r="E34" s="3" t="n">
        <v>1145</v>
      </c>
      <c r="F34" s="3" t="n">
        <v>687</v>
      </c>
    </row>
    <row r="35" customFormat="false" ht="23.85" hidden="false" customHeight="false" outlineLevel="0" collapsed="false">
      <c r="A35" s="4" t="s">
        <v>294</v>
      </c>
      <c r="B35" s="2" t="s">
        <v>305</v>
      </c>
      <c r="C35" s="5" t="s">
        <v>306</v>
      </c>
      <c r="D35" s="2" t="n">
        <v>225</v>
      </c>
      <c r="E35" s="3" t="n">
        <v>1395</v>
      </c>
      <c r="F35" s="3" t="n">
        <v>837</v>
      </c>
    </row>
    <row r="36" customFormat="false" ht="23.85" hidden="false" customHeight="false" outlineLevel="0" collapsed="false">
      <c r="A36" s="4" t="s">
        <v>117</v>
      </c>
      <c r="B36" s="2" t="s">
        <v>118</v>
      </c>
      <c r="C36" s="5" t="s">
        <v>307</v>
      </c>
      <c r="D36" s="2" t="n">
        <v>15</v>
      </c>
      <c r="E36" s="3" t="n">
        <v>285</v>
      </c>
      <c r="F36" s="3" t="n">
        <v>171</v>
      </c>
    </row>
    <row r="37" customFormat="false" ht="23.85" hidden="false" customHeight="false" outlineLevel="0" collapsed="false">
      <c r="A37" s="4" t="s">
        <v>117</v>
      </c>
      <c r="B37" s="2" t="s">
        <v>308</v>
      </c>
      <c r="C37" s="5" t="s">
        <v>309</v>
      </c>
      <c r="D37" s="2" t="n">
        <v>30</v>
      </c>
      <c r="E37" s="3" t="n">
        <v>380</v>
      </c>
      <c r="F37" s="3" t="n">
        <v>228</v>
      </c>
    </row>
    <row r="38" customFormat="false" ht="23.85" hidden="false" customHeight="false" outlineLevel="0" collapsed="false">
      <c r="A38" s="4" t="s">
        <v>117</v>
      </c>
      <c r="B38" s="2" t="s">
        <v>310</v>
      </c>
      <c r="C38" s="5" t="s">
        <v>311</v>
      </c>
      <c r="D38" s="2" t="n">
        <v>50</v>
      </c>
      <c r="E38" s="3" t="n">
        <v>470</v>
      </c>
      <c r="F38" s="3" t="n">
        <v>282</v>
      </c>
    </row>
    <row r="39" customFormat="false" ht="23.85" hidden="false" customHeight="false" outlineLevel="0" collapsed="false">
      <c r="A39" s="4" t="s">
        <v>117</v>
      </c>
      <c r="B39" s="2" t="s">
        <v>312</v>
      </c>
      <c r="C39" s="5" t="s">
        <v>313</v>
      </c>
      <c r="D39" s="2" t="n">
        <v>60</v>
      </c>
      <c r="E39" s="3" t="n">
        <v>725</v>
      </c>
      <c r="F39" s="3" t="n">
        <v>435</v>
      </c>
    </row>
    <row r="40" customFormat="false" ht="23.85" hidden="false" customHeight="false" outlineLevel="0" collapsed="false">
      <c r="A40" s="4" t="s">
        <v>314</v>
      </c>
      <c r="B40" s="2" t="s">
        <v>315</v>
      </c>
      <c r="C40" s="5" t="s">
        <v>275</v>
      </c>
      <c r="D40" s="2" t="n">
        <v>50</v>
      </c>
      <c r="E40" s="3" t="n">
        <v>385</v>
      </c>
      <c r="F40" s="3" t="n">
        <v>231</v>
      </c>
    </row>
    <row r="41" customFormat="false" ht="23.85" hidden="false" customHeight="false" outlineLevel="0" collapsed="false">
      <c r="A41" s="4" t="s">
        <v>314</v>
      </c>
      <c r="B41" s="2" t="s">
        <v>279</v>
      </c>
      <c r="C41" s="5" t="s">
        <v>280</v>
      </c>
      <c r="D41" s="2" t="n">
        <v>120</v>
      </c>
      <c r="E41" s="3" t="n">
        <v>630</v>
      </c>
      <c r="F41" s="3" t="n">
        <v>378</v>
      </c>
    </row>
    <row r="42" customFormat="false" ht="15" hidden="false" customHeight="false" outlineLevel="0" collapsed="false">
      <c r="A42" s="4" t="s">
        <v>314</v>
      </c>
      <c r="B42" s="2" t="s">
        <v>289</v>
      </c>
      <c r="C42" s="5" t="s">
        <v>290</v>
      </c>
      <c r="D42" s="2" t="n">
        <v>185</v>
      </c>
      <c r="E42" s="3" t="n">
        <v>880</v>
      </c>
      <c r="F42" s="3" t="n">
        <v>528</v>
      </c>
    </row>
    <row r="43" customFormat="false" ht="23.85" hidden="false" customHeight="false" outlineLevel="0" collapsed="false">
      <c r="A43" s="4" t="s">
        <v>141</v>
      </c>
      <c r="B43" s="2" t="s">
        <v>315</v>
      </c>
      <c r="C43" s="5" t="s">
        <v>275</v>
      </c>
      <c r="D43" s="2" t="n">
        <v>50</v>
      </c>
      <c r="E43" s="3" t="n">
        <v>385</v>
      </c>
      <c r="F43" s="3" t="n">
        <v>231</v>
      </c>
    </row>
    <row r="44" customFormat="false" ht="23.85" hidden="false" customHeight="false" outlineLevel="0" collapsed="false">
      <c r="A44" s="4" t="s">
        <v>141</v>
      </c>
      <c r="B44" s="2" t="s">
        <v>279</v>
      </c>
      <c r="C44" s="5" t="s">
        <v>280</v>
      </c>
      <c r="D44" s="2" t="n">
        <v>120</v>
      </c>
      <c r="E44" s="3" t="n">
        <v>630</v>
      </c>
      <c r="F44" s="3" t="n">
        <v>378</v>
      </c>
    </row>
    <row r="45" customFormat="false" ht="15" hidden="false" customHeight="false" outlineLevel="0" collapsed="false">
      <c r="A45" s="4" t="s">
        <v>141</v>
      </c>
      <c r="B45" s="2" t="s">
        <v>289</v>
      </c>
      <c r="C45" s="5" t="s">
        <v>290</v>
      </c>
      <c r="D45" s="2" t="n">
        <v>185</v>
      </c>
      <c r="E45" s="3" t="n">
        <v>880</v>
      </c>
      <c r="F45" s="3" t="n">
        <v>528</v>
      </c>
    </row>
    <row r="46" customFormat="false" ht="23.85" hidden="false" customHeight="false" outlineLevel="0" collapsed="false">
      <c r="A46" s="4" t="s">
        <v>141</v>
      </c>
      <c r="B46" s="2" t="s">
        <v>316</v>
      </c>
      <c r="C46" s="5" t="s">
        <v>317</v>
      </c>
      <c r="D46" s="2" t="n">
        <v>120</v>
      </c>
      <c r="E46" s="3" t="n">
        <v>925</v>
      </c>
      <c r="F46" s="3" t="n">
        <v>555</v>
      </c>
    </row>
    <row r="47" customFormat="false" ht="23.85" hidden="false" customHeight="false" outlineLevel="0" collapsed="false">
      <c r="A47" s="4" t="s">
        <v>141</v>
      </c>
      <c r="B47" s="2" t="s">
        <v>318</v>
      </c>
      <c r="C47" s="5" t="s">
        <v>319</v>
      </c>
      <c r="D47" s="2" t="n">
        <v>170</v>
      </c>
      <c r="E47" s="3" t="n">
        <v>1255</v>
      </c>
      <c r="F47" s="3" t="n">
        <v>753</v>
      </c>
    </row>
    <row r="48" customFormat="false" ht="23.85" hidden="false" customHeight="false" outlineLevel="0" collapsed="false">
      <c r="A48" s="4" t="s">
        <v>141</v>
      </c>
      <c r="B48" s="2" t="s">
        <v>320</v>
      </c>
      <c r="C48" s="5" t="s">
        <v>321</v>
      </c>
      <c r="D48" s="2" t="n">
        <v>225</v>
      </c>
      <c r="E48" s="3" t="n">
        <v>1475</v>
      </c>
      <c r="F48" s="3" t="n">
        <v>885</v>
      </c>
    </row>
    <row r="49" customFormat="false" ht="15" hidden="false" customHeight="false" outlineLevel="0" collapsed="false">
      <c r="A49" s="4" t="s">
        <v>154</v>
      </c>
      <c r="B49" s="2" t="s">
        <v>155</v>
      </c>
      <c r="C49" s="5" t="s">
        <v>322</v>
      </c>
      <c r="D49" s="2" t="n">
        <v>109</v>
      </c>
      <c r="E49" s="3" t="n">
        <v>530</v>
      </c>
      <c r="F49" s="3" t="n">
        <v>371</v>
      </c>
    </row>
    <row r="50" customFormat="false" ht="15" hidden="false" customHeight="false" outlineLevel="0" collapsed="false">
      <c r="A50" s="4" t="s">
        <v>154</v>
      </c>
      <c r="B50" s="2" t="s">
        <v>156</v>
      </c>
      <c r="C50" s="5" t="s">
        <v>323</v>
      </c>
      <c r="D50" s="2" t="n">
        <v>160</v>
      </c>
      <c r="E50" s="3" t="n">
        <v>545</v>
      </c>
      <c r="F50" s="3" t="n">
        <v>381.5</v>
      </c>
    </row>
    <row r="51" customFormat="false" ht="15" hidden="false" customHeight="false" outlineLevel="0" collapsed="false">
      <c r="A51" s="4" t="s">
        <v>154</v>
      </c>
      <c r="B51" s="2" t="s">
        <v>324</v>
      </c>
      <c r="C51" s="5" t="s">
        <v>325</v>
      </c>
      <c r="D51" s="2" t="n">
        <v>220</v>
      </c>
      <c r="E51" s="3" t="n">
        <v>1195</v>
      </c>
      <c r="F51" s="3" t="n">
        <v>836.5</v>
      </c>
    </row>
    <row r="52" customFormat="false" ht="23.85" hidden="false" customHeight="false" outlineLevel="0" collapsed="false">
      <c r="A52" s="4" t="s">
        <v>154</v>
      </c>
      <c r="B52" s="2" t="s">
        <v>326</v>
      </c>
      <c r="C52" s="5" t="s">
        <v>327</v>
      </c>
      <c r="D52" s="2" t="n">
        <v>175</v>
      </c>
      <c r="E52" s="3" t="n">
        <v>470</v>
      </c>
      <c r="F52" s="3" t="n">
        <v>329</v>
      </c>
    </row>
    <row r="53" customFormat="false" ht="23.85" hidden="false" customHeight="false" outlineLevel="0" collapsed="false">
      <c r="A53" s="4" t="s">
        <v>154</v>
      </c>
      <c r="B53" s="2" t="s">
        <v>328</v>
      </c>
      <c r="C53" s="5" t="s">
        <v>329</v>
      </c>
      <c r="D53" s="2" t="n">
        <v>205</v>
      </c>
      <c r="E53" s="3" t="n">
        <v>860</v>
      </c>
      <c r="F53" s="3" t="n">
        <v>602</v>
      </c>
    </row>
    <row r="54" customFormat="false" ht="23.85" hidden="false" customHeight="false" outlineLevel="0" collapsed="false">
      <c r="A54" s="4" t="s">
        <v>154</v>
      </c>
      <c r="B54" s="2" t="s">
        <v>330</v>
      </c>
      <c r="C54" s="5" t="s">
        <v>331</v>
      </c>
      <c r="D54" s="2" t="n">
        <v>205</v>
      </c>
      <c r="E54" s="3" t="n">
        <v>940</v>
      </c>
      <c r="F54" s="3" t="n">
        <v>658</v>
      </c>
    </row>
    <row r="55" customFormat="false" ht="15" hidden="false" customHeight="false" outlineLevel="0" collapsed="false">
      <c r="A55" s="4" t="s">
        <v>154</v>
      </c>
      <c r="B55" s="2" t="s">
        <v>332</v>
      </c>
      <c r="C55" s="5" t="s">
        <v>333</v>
      </c>
      <c r="D55" s="2" t="n">
        <v>290</v>
      </c>
      <c r="E55" s="3" t="n">
        <v>1235</v>
      </c>
      <c r="F55" s="3" t="n">
        <v>864.5</v>
      </c>
    </row>
    <row r="56" customFormat="false" ht="15" hidden="false" customHeight="false" outlineLevel="0" collapsed="false">
      <c r="A56" s="4" t="s">
        <v>154</v>
      </c>
      <c r="B56" s="2" t="s">
        <v>181</v>
      </c>
      <c r="C56" s="5" t="s">
        <v>334</v>
      </c>
      <c r="D56" s="2" t="n">
        <v>390</v>
      </c>
      <c r="E56" s="3" t="n">
        <v>1830</v>
      </c>
      <c r="F56" s="3" t="n">
        <v>1281</v>
      </c>
    </row>
    <row r="57" customFormat="false" ht="15" hidden="false" customHeight="false" outlineLevel="0" collapsed="false">
      <c r="A57" s="4" t="s">
        <v>154</v>
      </c>
      <c r="B57" s="2" t="s">
        <v>182</v>
      </c>
      <c r="C57" s="5" t="s">
        <v>335</v>
      </c>
      <c r="D57" s="2" t="n">
        <v>420</v>
      </c>
      <c r="E57" s="3" t="n">
        <v>2190</v>
      </c>
      <c r="F57" s="3" t="n">
        <v>1533</v>
      </c>
    </row>
    <row r="58" customFormat="false" ht="15" hidden="false" customHeight="false" outlineLevel="0" collapsed="false">
      <c r="A58" s="4" t="s">
        <v>154</v>
      </c>
      <c r="B58" s="2" t="s">
        <v>184</v>
      </c>
      <c r="C58" s="5" t="s">
        <v>336</v>
      </c>
      <c r="D58" s="2" t="n">
        <v>485</v>
      </c>
      <c r="E58" s="3" t="n">
        <v>3515</v>
      </c>
      <c r="F58" s="3" t="n">
        <v>2460.5</v>
      </c>
    </row>
    <row r="59" customFormat="false" ht="15" hidden="false" customHeight="false" outlineLevel="0" collapsed="false">
      <c r="A59" s="4" t="s">
        <v>154</v>
      </c>
      <c r="B59" s="2" t="s">
        <v>337</v>
      </c>
      <c r="C59" s="5" t="s">
        <v>338</v>
      </c>
      <c r="D59" s="2" t="n">
        <v>450</v>
      </c>
      <c r="E59" s="3" t="n">
        <v>2270</v>
      </c>
      <c r="F59" s="3" t="n">
        <v>1589</v>
      </c>
    </row>
    <row r="60" customFormat="false" ht="15" hidden="false" customHeight="false" outlineLevel="0" collapsed="false">
      <c r="A60" s="4" t="s">
        <v>154</v>
      </c>
      <c r="B60" s="2" t="s">
        <v>339</v>
      </c>
      <c r="C60" s="5" t="s">
        <v>340</v>
      </c>
      <c r="D60" s="2" t="n">
        <v>530</v>
      </c>
      <c r="E60" s="3" t="n">
        <v>3515</v>
      </c>
      <c r="F60" s="3" t="n">
        <v>2460.5</v>
      </c>
    </row>
    <row r="61" customFormat="false" ht="23.85" hidden="false" customHeight="false" outlineLevel="0" collapsed="false">
      <c r="A61" s="4" t="s">
        <v>154</v>
      </c>
      <c r="B61" s="2" t="s">
        <v>341</v>
      </c>
      <c r="C61" s="5" t="s">
        <v>342</v>
      </c>
      <c r="D61" s="2" t="n">
        <v>205</v>
      </c>
      <c r="E61" s="3" t="n">
        <v>1060</v>
      </c>
      <c r="F61" s="3" t="n">
        <v>742</v>
      </c>
    </row>
    <row r="62" customFormat="false" ht="15" hidden="false" customHeight="false" outlineLevel="0" collapsed="false">
      <c r="A62" s="4" t="s">
        <v>154</v>
      </c>
      <c r="B62" s="2" t="s">
        <v>343</v>
      </c>
      <c r="C62" s="5" t="s">
        <v>344</v>
      </c>
      <c r="D62" s="2" t="n">
        <v>635</v>
      </c>
      <c r="E62" s="3" t="n">
        <v>3635</v>
      </c>
      <c r="F62" s="3" t="n">
        <v>2544.5</v>
      </c>
    </row>
    <row r="63" customFormat="false" ht="15" hidden="false" customHeight="false" outlineLevel="0" collapsed="false">
      <c r="A63" s="4" t="s">
        <v>154</v>
      </c>
      <c r="B63" s="2" t="s">
        <v>193</v>
      </c>
      <c r="C63" s="5" t="s">
        <v>345</v>
      </c>
      <c r="D63" s="2" t="n">
        <v>482</v>
      </c>
      <c r="E63" s="3" t="n">
        <v>2270</v>
      </c>
      <c r="F63" s="3" t="n">
        <v>1589</v>
      </c>
    </row>
    <row r="64" customFormat="false" ht="15" hidden="false" customHeight="false" outlineLevel="0" collapsed="false">
      <c r="A64" s="4" t="s">
        <v>154</v>
      </c>
      <c r="B64" s="2" t="s">
        <v>196</v>
      </c>
      <c r="C64" s="5" t="s">
        <v>346</v>
      </c>
      <c r="D64" s="2" t="n">
        <v>530</v>
      </c>
      <c r="E64" s="3" t="n">
        <v>3510</v>
      </c>
      <c r="F64" s="3" t="n">
        <v>2457</v>
      </c>
    </row>
    <row r="65" customFormat="false" ht="15" hidden="false" customHeight="false" outlineLevel="0" collapsed="false">
      <c r="A65" s="4" t="s">
        <v>154</v>
      </c>
      <c r="B65" s="2" t="s">
        <v>199</v>
      </c>
      <c r="C65" s="5" t="s">
        <v>347</v>
      </c>
      <c r="D65" s="2" t="n">
        <v>690</v>
      </c>
      <c r="E65" s="3" t="n">
        <v>4680</v>
      </c>
      <c r="F65" s="3" t="n">
        <v>3276</v>
      </c>
    </row>
    <row r="66" customFormat="false" ht="15" hidden="false" customHeight="false" outlineLevel="0" collapsed="false">
      <c r="A66" s="4" t="s">
        <v>154</v>
      </c>
      <c r="B66" s="2" t="s">
        <v>201</v>
      </c>
      <c r="C66" s="5" t="s">
        <v>348</v>
      </c>
      <c r="D66" s="2" t="n">
        <v>600</v>
      </c>
      <c r="E66" s="3" t="n">
        <v>2830</v>
      </c>
      <c r="F66" s="3" t="n">
        <v>1981</v>
      </c>
    </row>
    <row r="67" customFormat="false" ht="23.85" hidden="false" customHeight="false" outlineLevel="0" collapsed="false">
      <c r="A67" s="4" t="s">
        <v>349</v>
      </c>
      <c r="B67" s="2" t="s">
        <v>204</v>
      </c>
      <c r="C67" s="5" t="s">
        <v>350</v>
      </c>
      <c r="D67" s="2" t="n">
        <v>70</v>
      </c>
      <c r="E67" s="3" t="n">
        <v>505</v>
      </c>
      <c r="F67" s="3" t="n">
        <v>303</v>
      </c>
    </row>
    <row r="68" customFormat="false" ht="23.85" hidden="false" customHeight="false" outlineLevel="0" collapsed="false">
      <c r="A68" s="4" t="s">
        <v>349</v>
      </c>
      <c r="B68" s="2" t="s">
        <v>351</v>
      </c>
      <c r="C68" s="5" t="s">
        <v>352</v>
      </c>
      <c r="D68" s="2" t="n">
        <v>65</v>
      </c>
      <c r="E68" s="3" t="n">
        <v>325</v>
      </c>
      <c r="F68" s="3" t="n">
        <v>195</v>
      </c>
    </row>
    <row r="69" customFormat="false" ht="23.85" hidden="false" customHeight="false" outlineLevel="0" collapsed="false">
      <c r="A69" s="4" t="s">
        <v>349</v>
      </c>
      <c r="B69" s="2" t="s">
        <v>206</v>
      </c>
      <c r="C69" s="5" t="s">
        <v>353</v>
      </c>
      <c r="D69" s="2" t="n">
        <v>160</v>
      </c>
      <c r="E69" s="3" t="n">
        <v>935</v>
      </c>
      <c r="F69" s="3" t="n">
        <v>561</v>
      </c>
    </row>
    <row r="70" customFormat="false" ht="15" hidden="false" customHeight="false" outlineLevel="0" collapsed="false">
      <c r="A70" s="4" t="s">
        <v>349</v>
      </c>
      <c r="B70" s="2" t="s">
        <v>354</v>
      </c>
      <c r="C70" s="5" t="s">
        <v>355</v>
      </c>
      <c r="D70" s="2" t="n">
        <v>155</v>
      </c>
      <c r="E70" s="3" t="n">
        <v>756</v>
      </c>
      <c r="F70" s="3" t="n">
        <v>453.6</v>
      </c>
    </row>
    <row r="71" customFormat="false" ht="23.85" hidden="false" customHeight="false" outlineLevel="0" collapsed="false">
      <c r="A71" s="4" t="s">
        <v>349</v>
      </c>
      <c r="B71" s="2" t="s">
        <v>207</v>
      </c>
      <c r="C71" s="5" t="s">
        <v>356</v>
      </c>
      <c r="D71" s="2" t="n">
        <v>200</v>
      </c>
      <c r="E71" s="3" t="n">
        <v>1000</v>
      </c>
      <c r="F71" s="3" t="n">
        <v>600</v>
      </c>
    </row>
    <row r="72" customFormat="false" ht="15" hidden="false" customHeight="false" outlineLevel="0" collapsed="false">
      <c r="A72" s="4" t="s">
        <v>349</v>
      </c>
      <c r="B72" s="2" t="s">
        <v>357</v>
      </c>
      <c r="C72" s="5" t="s">
        <v>358</v>
      </c>
      <c r="D72" s="2" t="n">
        <v>195</v>
      </c>
      <c r="E72" s="3" t="n">
        <v>830</v>
      </c>
      <c r="F72" s="3" t="n">
        <v>498</v>
      </c>
    </row>
    <row r="73" customFormat="false" ht="15" hidden="false" customHeight="false" outlineLevel="0" collapsed="false">
      <c r="A73" s="4" t="s">
        <v>213</v>
      </c>
      <c r="B73" s="2" t="s">
        <v>214</v>
      </c>
      <c r="C73" s="5" t="s">
        <v>359</v>
      </c>
      <c r="D73" s="2" t="n">
        <v>265</v>
      </c>
      <c r="E73" s="3" t="n">
        <v>1200</v>
      </c>
      <c r="F73" s="3" t="n">
        <v>840</v>
      </c>
    </row>
    <row r="74" customFormat="false" ht="15" hidden="false" customHeight="false" outlineLevel="0" collapsed="false">
      <c r="A74" s="4" t="s">
        <v>213</v>
      </c>
      <c r="B74" s="2" t="s">
        <v>216</v>
      </c>
      <c r="C74" s="5" t="s">
        <v>360</v>
      </c>
      <c r="D74" s="2" t="n">
        <v>315</v>
      </c>
      <c r="E74" s="3" t="n">
        <v>1240</v>
      </c>
      <c r="F74" s="3" t="n">
        <v>868</v>
      </c>
    </row>
    <row r="75" customFormat="false" ht="15" hidden="false" customHeight="false" outlineLevel="0" collapsed="false">
      <c r="A75" s="4" t="s">
        <v>213</v>
      </c>
      <c r="B75" s="2" t="s">
        <v>218</v>
      </c>
      <c r="C75" s="5" t="s">
        <v>361</v>
      </c>
      <c r="D75" s="2" t="n">
        <v>330</v>
      </c>
      <c r="E75" s="3" t="n">
        <v>1240</v>
      </c>
      <c r="F75" s="3" t="n">
        <v>868</v>
      </c>
    </row>
    <row r="76" customFormat="false" ht="15" hidden="false" customHeight="false" outlineLevel="0" collapsed="false">
      <c r="A76" s="4" t="s">
        <v>213</v>
      </c>
      <c r="B76" s="2" t="s">
        <v>220</v>
      </c>
      <c r="C76" s="5" t="s">
        <v>361</v>
      </c>
      <c r="D76" s="2" t="n">
        <v>330</v>
      </c>
      <c r="E76" s="3" t="n">
        <v>1240</v>
      </c>
      <c r="F76" s="3" t="n">
        <v>868</v>
      </c>
    </row>
    <row r="77" customFormat="false" ht="15" hidden="false" customHeight="false" outlineLevel="0" collapsed="false">
      <c r="A77" s="4" t="s">
        <v>213</v>
      </c>
      <c r="B77" s="2" t="s">
        <v>222</v>
      </c>
      <c r="C77" s="5" t="s">
        <v>362</v>
      </c>
      <c r="D77" s="2" t="n">
        <v>450</v>
      </c>
      <c r="E77" s="3" t="n">
        <v>2105</v>
      </c>
      <c r="F77" s="3" t="n">
        <v>1473.5</v>
      </c>
    </row>
    <row r="78" customFormat="false" ht="15" hidden="false" customHeight="false" outlineLevel="0" collapsed="false">
      <c r="A78" s="4" t="s">
        <v>213</v>
      </c>
      <c r="B78" s="2" t="s">
        <v>224</v>
      </c>
      <c r="C78" s="5" t="s">
        <v>363</v>
      </c>
      <c r="D78" s="2" t="n">
        <v>450</v>
      </c>
      <c r="E78" s="3" t="n">
        <v>2185</v>
      </c>
      <c r="F78" s="3" t="n">
        <v>1529.5</v>
      </c>
    </row>
    <row r="79" customFormat="false" ht="15" hidden="false" customHeight="false" outlineLevel="0" collapsed="false">
      <c r="A79" s="4" t="s">
        <v>213</v>
      </c>
      <c r="B79" s="2" t="s">
        <v>226</v>
      </c>
      <c r="C79" s="5" t="s">
        <v>364</v>
      </c>
      <c r="D79" s="2" t="n">
        <v>460</v>
      </c>
      <c r="E79" s="3" t="n">
        <v>2265</v>
      </c>
      <c r="F79" s="3" t="n">
        <v>1585.5</v>
      </c>
    </row>
    <row r="80" customFormat="false" ht="15" hidden="false" customHeight="false" outlineLevel="0" collapsed="false">
      <c r="A80" s="4" t="s">
        <v>213</v>
      </c>
      <c r="B80" s="2" t="s">
        <v>228</v>
      </c>
      <c r="C80" s="5" t="s">
        <v>365</v>
      </c>
      <c r="D80" s="2" t="n">
        <v>505</v>
      </c>
      <c r="E80" s="3" t="n">
        <v>2585</v>
      </c>
      <c r="F80" s="3" t="n">
        <v>1809.5</v>
      </c>
    </row>
  </sheetData>
  <autoFilter ref="A1:F8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70"/>
    <col collapsed="false" customWidth="true" hidden="false" outlineLevel="0" max="4" min="3" style="0" width="13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366</v>
      </c>
      <c r="B1" s="1" t="s">
        <v>367</v>
      </c>
      <c r="C1" s="1" t="s">
        <v>240</v>
      </c>
      <c r="D1" s="1" t="s">
        <v>368</v>
      </c>
      <c r="E1" s="1" t="s">
        <v>369</v>
      </c>
    </row>
    <row r="2" customFormat="false" ht="15" hidden="false" customHeight="false" outlineLevel="0" collapsed="false">
      <c r="A2" s="2" t="s">
        <v>370</v>
      </c>
      <c r="B2" s="5" t="s">
        <v>371</v>
      </c>
      <c r="C2" s="2" t="s">
        <v>372</v>
      </c>
      <c r="D2" s="3" t="n">
        <v>66</v>
      </c>
      <c r="E2" s="3" t="n">
        <v>315</v>
      </c>
    </row>
    <row r="3" customFormat="false" ht="15" hidden="false" customHeight="false" outlineLevel="0" collapsed="false">
      <c r="A3" s="2" t="s">
        <v>373</v>
      </c>
      <c r="B3" s="5" t="s">
        <v>374</v>
      </c>
      <c r="C3" s="3" t="n">
        <v>150</v>
      </c>
      <c r="D3" s="3" t="n">
        <v>90</v>
      </c>
      <c r="E3" s="3" t="n">
        <v>105</v>
      </c>
    </row>
    <row r="4" customFormat="false" ht="15" hidden="false" customHeight="false" outlineLevel="0" collapsed="false">
      <c r="A4" s="2" t="s">
        <v>375</v>
      </c>
      <c r="B4" s="5" t="s">
        <v>376</v>
      </c>
      <c r="C4" s="3" t="n">
        <v>295</v>
      </c>
      <c r="D4" s="3" t="n">
        <v>177</v>
      </c>
      <c r="E4" s="3" t="n">
        <v>206.5</v>
      </c>
    </row>
    <row r="5" customFormat="false" ht="15" hidden="false" customHeight="false" outlineLevel="0" collapsed="false">
      <c r="A5" s="2" t="s">
        <v>377</v>
      </c>
      <c r="B5" s="5" t="s">
        <v>378</v>
      </c>
      <c r="C5" s="3" t="n">
        <v>550</v>
      </c>
      <c r="D5" s="3" t="n">
        <v>330</v>
      </c>
      <c r="E5" s="3" t="n">
        <v>385</v>
      </c>
    </row>
    <row r="6" customFormat="false" ht="15" hidden="false" customHeight="false" outlineLevel="0" collapsed="false">
      <c r="A6" s="2" t="s">
        <v>379</v>
      </c>
      <c r="B6" s="5" t="s">
        <v>380</v>
      </c>
      <c r="C6" s="3" t="n">
        <v>85</v>
      </c>
      <c r="D6" s="3" t="n">
        <v>51</v>
      </c>
      <c r="E6" s="2"/>
    </row>
    <row r="7" customFormat="false" ht="15" hidden="false" customHeight="false" outlineLevel="0" collapsed="false">
      <c r="A7" s="2" t="s">
        <v>381</v>
      </c>
      <c r="B7" s="5" t="s">
        <v>382</v>
      </c>
      <c r="C7" s="3" t="n">
        <v>115</v>
      </c>
      <c r="D7" s="3" t="n">
        <v>69</v>
      </c>
      <c r="E7" s="3" t="n">
        <v>80.5</v>
      </c>
    </row>
    <row r="8" customFormat="false" ht="15" hidden="false" customHeight="false" outlineLevel="0" collapsed="false">
      <c r="A8" s="2" t="s">
        <v>383</v>
      </c>
      <c r="B8" s="5" t="s">
        <v>384</v>
      </c>
      <c r="C8" s="3" t="n">
        <v>1425</v>
      </c>
      <c r="D8" s="3" t="n">
        <v>997.5</v>
      </c>
      <c r="E8" s="2"/>
    </row>
    <row r="9" customFormat="false" ht="15" hidden="false" customHeight="false" outlineLevel="0" collapsed="false">
      <c r="A9" s="2" t="s">
        <v>383</v>
      </c>
      <c r="B9" s="5" t="s">
        <v>385</v>
      </c>
      <c r="C9" s="3" t="n">
        <v>1700</v>
      </c>
      <c r="D9" s="3" t="n">
        <v>1190</v>
      </c>
      <c r="E9" s="2"/>
    </row>
    <row r="10" customFormat="false" ht="15" hidden="false" customHeight="false" outlineLevel="0" collapsed="false">
      <c r="A10" s="2" t="s">
        <v>386</v>
      </c>
      <c r="B10" s="5" t="s">
        <v>387</v>
      </c>
      <c r="C10" s="3" t="n">
        <v>265</v>
      </c>
      <c r="D10" s="3" t="n">
        <v>159</v>
      </c>
      <c r="E10" s="2"/>
    </row>
    <row r="11" customFormat="false" ht="15" hidden="false" customHeight="false" outlineLevel="0" collapsed="false">
      <c r="A11" s="2" t="s">
        <v>388</v>
      </c>
      <c r="B11" s="5" t="s">
        <v>387</v>
      </c>
      <c r="C11" s="3" t="n">
        <v>295</v>
      </c>
      <c r="D11" s="3" t="n">
        <v>177</v>
      </c>
      <c r="E11" s="2"/>
    </row>
    <row r="12" customFormat="false" ht="15" hidden="false" customHeight="false" outlineLevel="0" collapsed="false">
      <c r="A12" s="2" t="s">
        <v>389</v>
      </c>
      <c r="B12" s="5" t="s">
        <v>390</v>
      </c>
      <c r="C12" s="3" t="n">
        <v>80</v>
      </c>
      <c r="D12" s="3" t="n">
        <v>48</v>
      </c>
      <c r="E12" s="2"/>
    </row>
    <row r="13" customFormat="false" ht="15" hidden="false" customHeight="false" outlineLevel="0" collapsed="false">
      <c r="A13" s="2" t="s">
        <v>391</v>
      </c>
      <c r="B13" s="5" t="s">
        <v>392</v>
      </c>
      <c r="C13" s="3" t="n">
        <v>300</v>
      </c>
      <c r="D13" s="3" t="n">
        <v>180</v>
      </c>
      <c r="E13" s="2"/>
    </row>
    <row r="14" customFormat="false" ht="15" hidden="false" customHeight="false" outlineLevel="0" collapsed="false">
      <c r="A14" s="2" t="s">
        <v>393</v>
      </c>
      <c r="B14" s="5" t="s">
        <v>394</v>
      </c>
      <c r="C14" s="3" t="n">
        <v>350</v>
      </c>
      <c r="D14" s="3" t="n">
        <v>210</v>
      </c>
      <c r="E14" s="2"/>
    </row>
    <row r="15" customFormat="false" ht="15" hidden="false" customHeight="false" outlineLevel="0" collapsed="false">
      <c r="A15" s="2" t="s">
        <v>395</v>
      </c>
      <c r="B15" s="5" t="s">
        <v>396</v>
      </c>
      <c r="C15" s="3" t="n">
        <v>350</v>
      </c>
      <c r="D15" s="3" t="n">
        <v>210</v>
      </c>
      <c r="E15" s="2"/>
    </row>
    <row r="16" customFormat="false" ht="15" hidden="false" customHeight="false" outlineLevel="0" collapsed="false">
      <c r="A16" s="2" t="s">
        <v>397</v>
      </c>
      <c r="B16" s="5" t="s">
        <v>398</v>
      </c>
      <c r="C16" s="3" t="n">
        <v>405</v>
      </c>
      <c r="D16" s="3" t="n">
        <v>243</v>
      </c>
      <c r="E16" s="2"/>
    </row>
    <row r="17" customFormat="false" ht="15" hidden="false" customHeight="false" outlineLevel="0" collapsed="false">
      <c r="A17" s="2" t="s">
        <v>399</v>
      </c>
      <c r="B17" s="5" t="s">
        <v>400</v>
      </c>
      <c r="C17" s="3" t="n">
        <v>475</v>
      </c>
      <c r="D17" s="3" t="n">
        <v>285</v>
      </c>
      <c r="E17" s="2"/>
    </row>
    <row r="18" customFormat="false" ht="15" hidden="false" customHeight="false" outlineLevel="0" collapsed="false">
      <c r="A18" s="2" t="s">
        <v>401</v>
      </c>
      <c r="B18" s="5" t="s">
        <v>402</v>
      </c>
      <c r="C18" s="3" t="n">
        <v>480</v>
      </c>
      <c r="D18" s="3" t="n">
        <v>288</v>
      </c>
      <c r="E18" s="2"/>
    </row>
    <row r="19" customFormat="false" ht="15" hidden="false" customHeight="false" outlineLevel="0" collapsed="false">
      <c r="A19" s="2" t="s">
        <v>403</v>
      </c>
      <c r="B19" s="5" t="s">
        <v>404</v>
      </c>
      <c r="C19" s="3" t="n">
        <v>560</v>
      </c>
      <c r="D19" s="3" t="n">
        <v>336</v>
      </c>
      <c r="E19" s="2"/>
    </row>
    <row r="20" customFormat="false" ht="15" hidden="false" customHeight="false" outlineLevel="0" collapsed="false">
      <c r="A20" s="2" t="s">
        <v>405</v>
      </c>
      <c r="B20" s="5" t="s">
        <v>406</v>
      </c>
      <c r="C20" s="3" t="n">
        <v>625</v>
      </c>
      <c r="D20" s="3" t="n">
        <v>375</v>
      </c>
      <c r="E20" s="2"/>
    </row>
    <row r="21" customFormat="false" ht="15" hidden="false" customHeight="false" outlineLevel="0" collapsed="false">
      <c r="A21" s="2" t="s">
        <v>407</v>
      </c>
      <c r="B21" s="5" t="s">
        <v>408</v>
      </c>
      <c r="C21" s="3" t="n">
        <v>115</v>
      </c>
      <c r="D21" s="3" t="n">
        <v>69</v>
      </c>
      <c r="E21" s="2"/>
    </row>
    <row r="22" customFormat="false" ht="15" hidden="false" customHeight="false" outlineLevel="0" collapsed="false">
      <c r="A22" s="2" t="s">
        <v>409</v>
      </c>
      <c r="B22" s="5" t="s">
        <v>410</v>
      </c>
      <c r="C22" s="3" t="n">
        <v>325</v>
      </c>
      <c r="D22" s="2"/>
      <c r="E22" s="3" t="n">
        <v>195</v>
      </c>
    </row>
    <row r="23" customFormat="false" ht="15" hidden="false" customHeight="false" outlineLevel="0" collapsed="false">
      <c r="A23" s="2" t="s">
        <v>411</v>
      </c>
      <c r="B23" s="5" t="s">
        <v>412</v>
      </c>
      <c r="C23" s="3" t="n">
        <v>450</v>
      </c>
      <c r="D23" s="2"/>
      <c r="E23" s="3" t="n">
        <v>315</v>
      </c>
    </row>
    <row r="24" customFormat="false" ht="15" hidden="false" customHeight="false" outlineLevel="0" collapsed="false">
      <c r="A24" s="2" t="s">
        <v>413</v>
      </c>
      <c r="B24" s="5" t="s">
        <v>414</v>
      </c>
      <c r="C24" s="3" t="n">
        <v>275</v>
      </c>
      <c r="D24" s="3" t="n">
        <v>165</v>
      </c>
      <c r="E24" s="3" t="n">
        <v>222</v>
      </c>
    </row>
    <row r="25" customFormat="false" ht="15" hidden="false" customHeight="false" outlineLevel="0" collapsed="false">
      <c r="A25" s="2" t="s">
        <v>415</v>
      </c>
      <c r="B25" s="5" t="s">
        <v>416</v>
      </c>
      <c r="C25" s="3" t="n">
        <v>10</v>
      </c>
      <c r="D25" s="3" t="n">
        <v>6</v>
      </c>
      <c r="E25" s="2"/>
    </row>
    <row r="26" customFormat="false" ht="15" hidden="false" customHeight="false" outlineLevel="0" collapsed="false">
      <c r="A26" s="2" t="s">
        <v>417</v>
      </c>
      <c r="B26" s="5" t="s">
        <v>418</v>
      </c>
      <c r="C26" s="3" t="n">
        <v>650</v>
      </c>
      <c r="D26" s="3" t="n">
        <v>390</v>
      </c>
      <c r="E26" s="2"/>
    </row>
    <row r="27" customFormat="false" ht="15" hidden="false" customHeight="false" outlineLevel="0" collapsed="false">
      <c r="A27" s="2" t="s">
        <v>419</v>
      </c>
      <c r="B27" s="5" t="s">
        <v>420</v>
      </c>
      <c r="C27" s="3" t="n">
        <v>1250</v>
      </c>
      <c r="D27" s="3" t="n">
        <v>750</v>
      </c>
      <c r="E27" s="2"/>
    </row>
    <row r="28" customFormat="false" ht="15" hidden="false" customHeight="false" outlineLevel="0" collapsed="false">
      <c r="A28" s="2" t="s">
        <v>419</v>
      </c>
      <c r="B28" s="5" t="s">
        <v>421</v>
      </c>
      <c r="C28" s="3" t="n">
        <v>1450</v>
      </c>
      <c r="D28" s="3" t="n">
        <v>870</v>
      </c>
      <c r="E28" s="2"/>
    </row>
    <row r="29" customFormat="false" ht="15" hidden="false" customHeight="false" outlineLevel="0" collapsed="false">
      <c r="A29" s="2" t="s">
        <v>422</v>
      </c>
      <c r="B29" s="5" t="s">
        <v>423</v>
      </c>
      <c r="C29" s="3" t="n">
        <v>115</v>
      </c>
      <c r="D29" s="3" t="n">
        <v>69</v>
      </c>
      <c r="E29" s="2"/>
    </row>
    <row r="30" customFormat="false" ht="15" hidden="false" customHeight="false" outlineLevel="0" collapsed="false">
      <c r="A30" s="2" t="s">
        <v>424</v>
      </c>
      <c r="B30" s="5" t="s">
        <v>425</v>
      </c>
      <c r="C30" s="3" t="n">
        <v>70</v>
      </c>
      <c r="D30" s="3" t="n">
        <v>42</v>
      </c>
      <c r="E30" s="2"/>
    </row>
    <row r="31" customFormat="false" ht="15" hidden="false" customHeight="false" outlineLevel="0" collapsed="false">
      <c r="A31" s="2" t="s">
        <v>426</v>
      </c>
      <c r="B31" s="5" t="s">
        <v>37</v>
      </c>
      <c r="C31" s="3" t="n">
        <v>395</v>
      </c>
      <c r="D31" s="3" t="n">
        <v>237</v>
      </c>
      <c r="E31" s="2"/>
    </row>
    <row r="32" customFormat="false" ht="15" hidden="false" customHeight="false" outlineLevel="0" collapsed="false">
      <c r="A32" s="2" t="s">
        <v>426</v>
      </c>
      <c r="B32" s="5" t="s">
        <v>198</v>
      </c>
      <c r="C32" s="2" t="s">
        <v>427</v>
      </c>
      <c r="D32" s="2"/>
      <c r="E32" s="2"/>
    </row>
    <row r="33" customFormat="false" ht="23.85" hidden="false" customHeight="false" outlineLevel="0" collapsed="false">
      <c r="A33" s="2" t="s">
        <v>428</v>
      </c>
      <c r="B33" s="5" t="s">
        <v>429</v>
      </c>
      <c r="C33" s="3" t="n">
        <v>1600</v>
      </c>
      <c r="D33" s="3" t="n">
        <v>960</v>
      </c>
      <c r="E33" s="2"/>
    </row>
    <row r="34" customFormat="false" ht="15" hidden="false" customHeight="false" outlineLevel="0" collapsed="false">
      <c r="A34" s="2" t="s">
        <v>430</v>
      </c>
      <c r="B34" s="5" t="s">
        <v>431</v>
      </c>
      <c r="C34" s="3" t="n">
        <v>6.5</v>
      </c>
      <c r="D34" s="3" t="n">
        <v>3.9</v>
      </c>
      <c r="E34" s="2"/>
    </row>
    <row r="35" customFormat="false" ht="15" hidden="false" customHeight="false" outlineLevel="0" collapsed="false">
      <c r="A35" s="2" t="s">
        <v>430</v>
      </c>
      <c r="B35" s="5" t="s">
        <v>432</v>
      </c>
      <c r="C35" s="3" t="n">
        <v>25</v>
      </c>
      <c r="D35" s="2"/>
      <c r="E35" s="3" t="n">
        <v>17.5</v>
      </c>
    </row>
    <row r="36" customFormat="false" ht="15" hidden="false" customHeight="false" outlineLevel="0" collapsed="false">
      <c r="A36" s="2" t="s">
        <v>433</v>
      </c>
      <c r="B36" s="5" t="s">
        <v>434</v>
      </c>
      <c r="C36" s="3" t="n">
        <v>550</v>
      </c>
      <c r="D36" s="3" t="n">
        <v>330</v>
      </c>
      <c r="E36" s="2"/>
    </row>
    <row r="37" customFormat="false" ht="15" hidden="false" customHeight="false" outlineLevel="0" collapsed="false">
      <c r="A37" s="2" t="s">
        <v>435</v>
      </c>
      <c r="B37" s="5" t="s">
        <v>436</v>
      </c>
      <c r="C37" s="3" t="n">
        <v>750</v>
      </c>
      <c r="D37" s="3" t="n">
        <v>450</v>
      </c>
      <c r="E37" s="2"/>
    </row>
    <row r="38" customFormat="false" ht="15" hidden="false" customHeight="false" outlineLevel="0" collapsed="false">
      <c r="A38" s="2" t="s">
        <v>437</v>
      </c>
      <c r="B38" s="5" t="s">
        <v>438</v>
      </c>
      <c r="C38" s="3" t="n">
        <v>850</v>
      </c>
      <c r="D38" s="3" t="n">
        <v>510</v>
      </c>
      <c r="E38" s="2"/>
    </row>
    <row r="39" customFormat="false" ht="15" hidden="false" customHeight="false" outlineLevel="0" collapsed="false">
      <c r="A39" s="2" t="s">
        <v>437</v>
      </c>
      <c r="B39" s="5" t="s">
        <v>439</v>
      </c>
      <c r="C39" s="2" t="s">
        <v>427</v>
      </c>
      <c r="D39" s="2"/>
      <c r="E39" s="2"/>
    </row>
    <row r="40" customFormat="false" ht="15" hidden="false" customHeight="false" outlineLevel="0" collapsed="false">
      <c r="A40" s="2" t="s">
        <v>440</v>
      </c>
      <c r="B40" s="5" t="s">
        <v>441</v>
      </c>
      <c r="C40" s="3" t="n">
        <v>20</v>
      </c>
      <c r="D40" s="3" t="n">
        <v>12</v>
      </c>
      <c r="E40" s="2"/>
    </row>
    <row r="41" customFormat="false" ht="15" hidden="false" customHeight="false" outlineLevel="0" collapsed="false">
      <c r="A41" s="2" t="s">
        <v>442</v>
      </c>
      <c r="B41" s="5" t="s">
        <v>443</v>
      </c>
      <c r="C41" s="3" t="n">
        <v>175</v>
      </c>
      <c r="D41" s="3" t="n">
        <v>105</v>
      </c>
      <c r="E41" s="2"/>
    </row>
    <row r="42" customFormat="false" ht="15" hidden="false" customHeight="false" outlineLevel="0" collapsed="false">
      <c r="A42" s="2" t="s">
        <v>444</v>
      </c>
      <c r="B42" s="5" t="s">
        <v>445</v>
      </c>
      <c r="C42" s="3" t="n">
        <v>275</v>
      </c>
      <c r="D42" s="3" t="n">
        <v>158.4</v>
      </c>
      <c r="E42" s="2"/>
    </row>
    <row r="43" customFormat="false" ht="15" hidden="false" customHeight="false" outlineLevel="0" collapsed="false">
      <c r="A43" s="2" t="s">
        <v>446</v>
      </c>
      <c r="B43" s="5" t="s">
        <v>447</v>
      </c>
      <c r="C43" s="3" t="n">
        <v>15</v>
      </c>
      <c r="D43" s="3" t="n">
        <v>9</v>
      </c>
      <c r="E43" s="2"/>
    </row>
    <row r="44" customFormat="false" ht="15" hidden="false" customHeight="false" outlineLevel="0" collapsed="false">
      <c r="A44" s="2" t="s">
        <v>448</v>
      </c>
      <c r="B44" s="5" t="s">
        <v>449</v>
      </c>
      <c r="C44" s="3" t="n">
        <v>275</v>
      </c>
      <c r="D44" s="3" t="n">
        <v>165</v>
      </c>
      <c r="E44" s="2"/>
    </row>
    <row r="45" customFormat="false" ht="15" hidden="false" customHeight="false" outlineLevel="0" collapsed="false">
      <c r="A45" s="2" t="s">
        <v>448</v>
      </c>
      <c r="B45" s="5" t="s">
        <v>450</v>
      </c>
      <c r="C45" s="3" t="n">
        <v>300</v>
      </c>
      <c r="D45" s="2"/>
      <c r="E45" s="3" t="n">
        <v>210</v>
      </c>
    </row>
    <row r="46" customFormat="false" ht="15" hidden="false" customHeight="false" outlineLevel="0" collapsed="false">
      <c r="A46" s="2" t="s">
        <v>451</v>
      </c>
      <c r="B46" s="5" t="s">
        <v>452</v>
      </c>
      <c r="C46" s="3" t="n">
        <v>115</v>
      </c>
      <c r="D46" s="3" t="n">
        <v>80.5</v>
      </c>
      <c r="E46" s="2"/>
    </row>
    <row r="47" customFormat="false" ht="15" hidden="false" customHeight="false" outlineLevel="0" collapsed="false">
      <c r="A47" s="2" t="s">
        <v>451</v>
      </c>
      <c r="B47" s="5" t="s">
        <v>453</v>
      </c>
      <c r="C47" s="3" t="n">
        <v>150</v>
      </c>
      <c r="D47" s="3" t="n">
        <v>105</v>
      </c>
      <c r="E47" s="2"/>
    </row>
    <row r="48" customFormat="false" ht="15" hidden="false" customHeight="false" outlineLevel="0" collapsed="false">
      <c r="A48" s="2" t="s">
        <v>454</v>
      </c>
      <c r="B48" s="5" t="s">
        <v>455</v>
      </c>
      <c r="C48" s="3" t="n">
        <v>105</v>
      </c>
      <c r="D48" s="3" t="n">
        <v>63</v>
      </c>
      <c r="E48" s="2"/>
    </row>
    <row r="49" customFormat="false" ht="15" hidden="false" customHeight="false" outlineLevel="0" collapsed="false">
      <c r="A49" s="2" t="s">
        <v>456</v>
      </c>
      <c r="B49" s="5" t="s">
        <v>457</v>
      </c>
      <c r="C49" s="3" t="n">
        <v>450</v>
      </c>
      <c r="D49" s="2"/>
      <c r="E49" s="3" t="n">
        <v>315</v>
      </c>
    </row>
    <row r="50" customFormat="false" ht="15" hidden="false" customHeight="false" outlineLevel="0" collapsed="false">
      <c r="A50" s="2" t="s">
        <v>458</v>
      </c>
      <c r="B50" s="5" t="s">
        <v>459</v>
      </c>
      <c r="C50" s="3" t="n">
        <v>500</v>
      </c>
      <c r="D50" s="2"/>
      <c r="E50" s="3" t="n">
        <v>350</v>
      </c>
    </row>
    <row r="51" customFormat="false" ht="15" hidden="false" customHeight="false" outlineLevel="0" collapsed="false">
      <c r="A51" s="2" t="s">
        <v>460</v>
      </c>
      <c r="B51" s="5" t="s">
        <v>461</v>
      </c>
      <c r="C51" s="2" t="s">
        <v>427</v>
      </c>
      <c r="D51" s="2"/>
      <c r="E51" s="2"/>
    </row>
    <row r="52" customFormat="false" ht="15" hidden="false" customHeight="false" outlineLevel="0" collapsed="false">
      <c r="A52" s="2" t="s">
        <v>462</v>
      </c>
      <c r="B52" s="5" t="s">
        <v>463</v>
      </c>
      <c r="C52" s="3" t="n">
        <v>650</v>
      </c>
      <c r="D52" s="3" t="n">
        <v>390</v>
      </c>
      <c r="E52" s="2"/>
    </row>
    <row r="53" customFormat="false" ht="15" hidden="false" customHeight="false" outlineLevel="0" collapsed="false">
      <c r="A53" s="2" t="s">
        <v>462</v>
      </c>
      <c r="B53" s="5" t="s">
        <v>464</v>
      </c>
      <c r="C53" s="3" t="n">
        <v>800</v>
      </c>
      <c r="D53" s="2"/>
      <c r="E53" s="3" t="n">
        <v>560</v>
      </c>
    </row>
    <row r="54" customFormat="false" ht="15" hidden="false" customHeight="false" outlineLevel="0" collapsed="false">
      <c r="A54" s="2" t="s">
        <v>465</v>
      </c>
      <c r="B54" s="5" t="s">
        <v>466</v>
      </c>
      <c r="C54" s="3" t="n">
        <v>775</v>
      </c>
      <c r="D54" s="3" t="n">
        <v>465</v>
      </c>
      <c r="E54" s="3" t="n">
        <v>542.5</v>
      </c>
    </row>
    <row r="55" customFormat="false" ht="15" hidden="false" customHeight="false" outlineLevel="0" collapsed="false">
      <c r="A55" s="2" t="s">
        <v>467</v>
      </c>
      <c r="B55" s="5" t="s">
        <v>468</v>
      </c>
      <c r="C55" s="3" t="n">
        <v>275</v>
      </c>
      <c r="D55" s="3" t="n">
        <v>165</v>
      </c>
      <c r="E55" s="3" t="n">
        <v>192.5</v>
      </c>
    </row>
    <row r="56" customFormat="false" ht="15" hidden="false" customHeight="false" outlineLevel="0" collapsed="false">
      <c r="A56" s="2" t="s">
        <v>469</v>
      </c>
      <c r="B56" s="5" t="s">
        <v>470</v>
      </c>
      <c r="C56" s="3" t="n">
        <v>150</v>
      </c>
      <c r="D56" s="3" t="n">
        <v>90</v>
      </c>
      <c r="E56" s="3" t="n">
        <v>105</v>
      </c>
    </row>
    <row r="57" customFormat="false" ht="15" hidden="false" customHeight="false" outlineLevel="0" collapsed="false">
      <c r="A57" s="2" t="s">
        <v>471</v>
      </c>
      <c r="B57" s="5" t="s">
        <v>472</v>
      </c>
      <c r="C57" s="3" t="n">
        <v>1700</v>
      </c>
      <c r="D57" s="3" t="n">
        <v>1020</v>
      </c>
      <c r="E57" s="2"/>
    </row>
    <row r="58" customFormat="false" ht="15" hidden="false" customHeight="false" outlineLevel="0" collapsed="false">
      <c r="A58" s="2" t="s">
        <v>473</v>
      </c>
      <c r="B58" s="5" t="s">
        <v>474</v>
      </c>
      <c r="C58" s="3" t="n">
        <v>1750</v>
      </c>
      <c r="D58" s="3" t="n">
        <v>1050</v>
      </c>
      <c r="E58" s="2"/>
    </row>
    <row r="59" customFormat="false" ht="15" hidden="false" customHeight="false" outlineLevel="0" collapsed="false">
      <c r="A59" s="2" t="s">
        <v>475</v>
      </c>
      <c r="B59" s="5" t="s">
        <v>476</v>
      </c>
      <c r="C59" s="3" t="n">
        <v>1700</v>
      </c>
      <c r="D59" s="3" t="n">
        <v>1190</v>
      </c>
      <c r="E59" s="2"/>
    </row>
    <row r="60" customFormat="false" ht="15" hidden="false" customHeight="false" outlineLevel="0" collapsed="false">
      <c r="A60" s="2" t="s">
        <v>475</v>
      </c>
      <c r="B60" s="5" t="s">
        <v>477</v>
      </c>
      <c r="C60" s="3" t="n">
        <v>1800</v>
      </c>
      <c r="D60" s="3" t="n">
        <v>1260</v>
      </c>
      <c r="E60" s="2"/>
    </row>
    <row r="61" customFormat="false" ht="15" hidden="false" customHeight="false" outlineLevel="0" collapsed="false">
      <c r="A61" s="2" t="s">
        <v>478</v>
      </c>
      <c r="B61" s="5" t="s">
        <v>479</v>
      </c>
      <c r="C61" s="3" t="n">
        <v>230</v>
      </c>
      <c r="D61" s="3" t="n">
        <v>230</v>
      </c>
      <c r="E61" s="2"/>
    </row>
    <row r="62" customFormat="false" ht="15" hidden="false" customHeight="false" outlineLevel="0" collapsed="false">
      <c r="A62" s="2" t="s">
        <v>478</v>
      </c>
      <c r="B62" s="5" t="s">
        <v>154</v>
      </c>
      <c r="C62" s="3" t="n">
        <v>550</v>
      </c>
      <c r="D62" s="2"/>
      <c r="E62" s="3" t="n">
        <v>550</v>
      </c>
    </row>
  </sheetData>
  <autoFilter ref="A1:E6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6" min="5" style="0" width="13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480</v>
      </c>
      <c r="B1" s="1" t="s">
        <v>481</v>
      </c>
      <c r="C1" s="1" t="s">
        <v>482</v>
      </c>
      <c r="D1" s="1" t="s">
        <v>483</v>
      </c>
      <c r="E1" s="1" t="s">
        <v>240</v>
      </c>
      <c r="F1" s="1" t="s">
        <v>368</v>
      </c>
      <c r="G1" s="1" t="s">
        <v>369</v>
      </c>
    </row>
    <row r="2" customFormat="false" ht="15" hidden="false" customHeight="false" outlineLevel="0" collapsed="false">
      <c r="A2" s="2" t="s">
        <v>484</v>
      </c>
      <c r="B2" s="2" t="s">
        <v>485</v>
      </c>
      <c r="C2" s="2" t="s">
        <v>486</v>
      </c>
      <c r="D2" s="2" t="n">
        <v>4</v>
      </c>
      <c r="E2" s="3" t="n">
        <v>31</v>
      </c>
      <c r="F2" s="3" t="n">
        <v>18.6</v>
      </c>
      <c r="G2" s="2"/>
    </row>
    <row r="3" customFormat="false" ht="15" hidden="false" customHeight="false" outlineLevel="0" collapsed="false">
      <c r="A3" s="2" t="s">
        <v>487</v>
      </c>
      <c r="B3" s="2" t="s">
        <v>488</v>
      </c>
      <c r="C3" s="2" t="s">
        <v>486</v>
      </c>
      <c r="D3" s="2" t="n">
        <v>4</v>
      </c>
      <c r="E3" s="3" t="n">
        <v>31</v>
      </c>
      <c r="F3" s="3" t="n">
        <v>18.6</v>
      </c>
      <c r="G3" s="2"/>
    </row>
    <row r="4" customFormat="false" ht="15" hidden="false" customHeight="false" outlineLevel="0" collapsed="false">
      <c r="A4" s="2" t="s">
        <v>489</v>
      </c>
      <c r="B4" s="2" t="s">
        <v>490</v>
      </c>
      <c r="C4" s="2" t="s">
        <v>491</v>
      </c>
      <c r="D4" s="2" t="n">
        <v>4</v>
      </c>
      <c r="E4" s="3" t="n">
        <v>35</v>
      </c>
      <c r="F4" s="3" t="n">
        <v>21</v>
      </c>
      <c r="G4" s="2"/>
    </row>
    <row r="5" customFormat="false" ht="15" hidden="false" customHeight="false" outlineLevel="0" collapsed="false">
      <c r="A5" s="2" t="s">
        <v>492</v>
      </c>
      <c r="B5" s="2" t="s">
        <v>493</v>
      </c>
      <c r="C5" s="2" t="s">
        <v>494</v>
      </c>
      <c r="D5" s="2" t="n">
        <v>5</v>
      </c>
      <c r="E5" s="3" t="n">
        <v>40</v>
      </c>
      <c r="F5" s="3" t="n">
        <v>24</v>
      </c>
      <c r="G5" s="2"/>
    </row>
    <row r="6" customFormat="false" ht="15" hidden="false" customHeight="false" outlineLevel="0" collapsed="false">
      <c r="A6" s="2" t="s">
        <v>495</v>
      </c>
      <c r="B6" s="2" t="s">
        <v>493</v>
      </c>
      <c r="C6" s="2" t="s">
        <v>486</v>
      </c>
      <c r="D6" s="2" t="n">
        <v>6</v>
      </c>
      <c r="E6" s="3" t="n">
        <v>41</v>
      </c>
      <c r="F6" s="3" t="n">
        <v>24.6</v>
      </c>
      <c r="G6" s="2"/>
    </row>
    <row r="7" customFormat="false" ht="15" hidden="false" customHeight="false" outlineLevel="0" collapsed="false">
      <c r="A7" s="2" t="s">
        <v>496</v>
      </c>
      <c r="B7" s="2" t="s">
        <v>497</v>
      </c>
      <c r="C7" s="2" t="s">
        <v>498</v>
      </c>
      <c r="D7" s="2" t="n">
        <v>6</v>
      </c>
      <c r="E7" s="3" t="n">
        <v>43</v>
      </c>
      <c r="F7" s="3" t="n">
        <v>25.8</v>
      </c>
      <c r="G7" s="2"/>
    </row>
    <row r="8" customFormat="false" ht="15" hidden="false" customHeight="false" outlineLevel="0" collapsed="false">
      <c r="A8" s="2" t="s">
        <v>499</v>
      </c>
      <c r="B8" s="2" t="s">
        <v>500</v>
      </c>
      <c r="C8" s="2" t="s">
        <v>498</v>
      </c>
      <c r="D8" s="2" t="n">
        <v>8</v>
      </c>
      <c r="E8" s="3" t="n">
        <v>60</v>
      </c>
      <c r="F8" s="3" t="n">
        <v>36</v>
      </c>
      <c r="G8" s="2"/>
    </row>
    <row r="9" customFormat="false" ht="15" hidden="false" customHeight="false" outlineLevel="0" collapsed="false">
      <c r="A9" s="2" t="s">
        <v>501</v>
      </c>
      <c r="B9" s="2" t="s">
        <v>502</v>
      </c>
      <c r="C9" s="2" t="s">
        <v>498</v>
      </c>
      <c r="D9" s="2" t="n">
        <v>8</v>
      </c>
      <c r="E9" s="3" t="n">
        <v>60</v>
      </c>
      <c r="F9" s="3" t="n">
        <v>36</v>
      </c>
      <c r="G9" s="2"/>
    </row>
    <row r="10" customFormat="false" ht="15" hidden="false" customHeight="false" outlineLevel="0" collapsed="false">
      <c r="A10" s="2" t="s">
        <v>503</v>
      </c>
      <c r="B10" s="2" t="s">
        <v>504</v>
      </c>
      <c r="C10" s="2" t="s">
        <v>498</v>
      </c>
      <c r="D10" s="2" t="n">
        <v>10</v>
      </c>
      <c r="E10" s="3" t="n">
        <v>75</v>
      </c>
      <c r="F10" s="3" t="n">
        <v>45</v>
      </c>
      <c r="G10" s="2"/>
    </row>
    <row r="11" customFormat="false" ht="15" hidden="false" customHeight="false" outlineLevel="0" collapsed="false">
      <c r="A11" s="2" t="s">
        <v>505</v>
      </c>
      <c r="B11" s="2" t="s">
        <v>506</v>
      </c>
      <c r="C11" s="2" t="s">
        <v>486</v>
      </c>
      <c r="D11" s="2" t="n">
        <v>29</v>
      </c>
      <c r="E11" s="3" t="n">
        <v>80</v>
      </c>
      <c r="F11" s="3" t="n">
        <v>48</v>
      </c>
      <c r="G11" s="2"/>
    </row>
    <row r="12" customFormat="false" ht="15" hidden="false" customHeight="false" outlineLevel="0" collapsed="false">
      <c r="A12" s="2" t="s">
        <v>507</v>
      </c>
      <c r="B12" s="2" t="s">
        <v>508</v>
      </c>
      <c r="C12" s="2" t="s">
        <v>498</v>
      </c>
      <c r="D12" s="2" t="n">
        <v>35</v>
      </c>
      <c r="E12" s="3" t="n">
        <v>95</v>
      </c>
      <c r="F12" s="3" t="n">
        <v>57</v>
      </c>
      <c r="G12" s="2"/>
    </row>
    <row r="13" customFormat="false" ht="15" hidden="false" customHeight="false" outlineLevel="0" collapsed="false">
      <c r="A13" s="2" t="s">
        <v>509</v>
      </c>
      <c r="B13" s="2" t="s">
        <v>510</v>
      </c>
      <c r="C13" s="2" t="s">
        <v>498</v>
      </c>
      <c r="D13" s="2" t="n">
        <v>8</v>
      </c>
      <c r="E13" s="3" t="n">
        <v>34</v>
      </c>
      <c r="F13" s="3" t="n">
        <v>20.4</v>
      </c>
      <c r="G13" s="2"/>
    </row>
    <row r="14" customFormat="false" ht="15" hidden="false" customHeight="false" outlineLevel="0" collapsed="false">
      <c r="A14" s="2" t="s">
        <v>511</v>
      </c>
      <c r="B14" s="2" t="s">
        <v>512</v>
      </c>
      <c r="C14" s="2" t="s">
        <v>494</v>
      </c>
      <c r="D14" s="2" t="n">
        <v>10</v>
      </c>
      <c r="E14" s="3" t="n">
        <v>60</v>
      </c>
      <c r="F14" s="3" t="n">
        <v>36</v>
      </c>
      <c r="G14" s="2"/>
    </row>
    <row r="15" customFormat="false" ht="15" hidden="false" customHeight="false" outlineLevel="0" collapsed="false">
      <c r="A15" s="2" t="s">
        <v>513</v>
      </c>
      <c r="B15" s="2" t="s">
        <v>512</v>
      </c>
      <c r="C15" s="2" t="s">
        <v>486</v>
      </c>
      <c r="D15" s="2" t="n">
        <v>8</v>
      </c>
      <c r="E15" s="3" t="n">
        <v>65</v>
      </c>
      <c r="F15" s="3" t="n">
        <v>39</v>
      </c>
      <c r="G15" s="2"/>
    </row>
    <row r="16" customFormat="false" ht="15" hidden="false" customHeight="false" outlineLevel="0" collapsed="false">
      <c r="A16" s="2" t="s">
        <v>255</v>
      </c>
      <c r="B16" s="2" t="s">
        <v>514</v>
      </c>
      <c r="C16" s="2" t="s">
        <v>486</v>
      </c>
      <c r="D16" s="2" t="n">
        <v>10</v>
      </c>
      <c r="E16" s="3" t="n">
        <v>75</v>
      </c>
      <c r="F16" s="3" t="n">
        <v>45</v>
      </c>
      <c r="G16" s="2"/>
    </row>
    <row r="17" customFormat="false" ht="15" hidden="false" customHeight="false" outlineLevel="0" collapsed="false">
      <c r="A17" s="2" t="s">
        <v>257</v>
      </c>
      <c r="B17" s="2" t="s">
        <v>506</v>
      </c>
      <c r="C17" s="2" t="s">
        <v>486</v>
      </c>
      <c r="D17" s="2" t="n">
        <v>15</v>
      </c>
      <c r="E17" s="3" t="n">
        <v>80</v>
      </c>
      <c r="F17" s="3" t="n">
        <v>48</v>
      </c>
      <c r="G17" s="2"/>
    </row>
    <row r="18" customFormat="false" ht="15" hidden="false" customHeight="false" outlineLevel="0" collapsed="false">
      <c r="A18" s="2" t="s">
        <v>515</v>
      </c>
      <c r="B18" s="2" t="s">
        <v>516</v>
      </c>
      <c r="C18" s="2" t="s">
        <v>517</v>
      </c>
      <c r="D18" s="2" t="n">
        <v>10</v>
      </c>
      <c r="E18" s="3" t="n">
        <v>34</v>
      </c>
      <c r="F18" s="3" t="n">
        <v>20.4</v>
      </c>
      <c r="G18" s="2"/>
    </row>
    <row r="19" customFormat="false" ht="15" hidden="false" customHeight="false" outlineLevel="0" collapsed="false">
      <c r="A19" s="2" t="s">
        <v>515</v>
      </c>
      <c r="B19" s="2" t="s">
        <v>518</v>
      </c>
      <c r="C19" s="2" t="s">
        <v>494</v>
      </c>
      <c r="D19" s="2" t="n">
        <v>15</v>
      </c>
      <c r="E19" s="3" t="n">
        <v>60</v>
      </c>
      <c r="F19" s="3" t="n">
        <v>36</v>
      </c>
      <c r="G19" s="2"/>
    </row>
    <row r="20" customFormat="false" ht="15" hidden="false" customHeight="false" outlineLevel="0" collapsed="false">
      <c r="A20" s="2" t="s">
        <v>519</v>
      </c>
      <c r="B20" s="2" t="s">
        <v>520</v>
      </c>
      <c r="C20" s="2" t="s">
        <v>521</v>
      </c>
      <c r="D20" s="2" t="n">
        <v>8</v>
      </c>
      <c r="E20" s="3" t="n">
        <v>48</v>
      </c>
      <c r="F20" s="3" t="n">
        <v>28.8</v>
      </c>
      <c r="G20" s="2"/>
    </row>
    <row r="21" customFormat="false" ht="15" hidden="false" customHeight="false" outlineLevel="0" collapsed="false">
      <c r="A21" s="2" t="s">
        <v>522</v>
      </c>
      <c r="B21" s="2" t="s">
        <v>523</v>
      </c>
      <c r="C21" s="2" t="s">
        <v>524</v>
      </c>
      <c r="D21" s="2" t="n">
        <v>15</v>
      </c>
      <c r="E21" s="3" t="n">
        <v>70</v>
      </c>
      <c r="F21" s="3" t="n">
        <v>42</v>
      </c>
      <c r="G21" s="2"/>
    </row>
    <row r="22" customFormat="false" ht="15" hidden="false" customHeight="false" outlineLevel="0" collapsed="false">
      <c r="A22" s="2" t="s">
        <v>525</v>
      </c>
      <c r="B22" s="2" t="s">
        <v>526</v>
      </c>
      <c r="C22" s="2" t="s">
        <v>517</v>
      </c>
      <c r="D22" s="2" t="n">
        <v>21</v>
      </c>
      <c r="E22" s="3" t="n">
        <v>75</v>
      </c>
      <c r="F22" s="3" t="n">
        <v>45</v>
      </c>
      <c r="G22" s="2"/>
    </row>
    <row r="23" customFormat="false" ht="15" hidden="false" customHeight="false" outlineLevel="0" collapsed="false">
      <c r="A23" s="2" t="s">
        <v>527</v>
      </c>
      <c r="B23" s="2" t="s">
        <v>528</v>
      </c>
      <c r="C23" s="2" t="s">
        <v>517</v>
      </c>
      <c r="D23" s="2" t="n">
        <v>26</v>
      </c>
      <c r="E23" s="3" t="n">
        <v>115</v>
      </c>
      <c r="F23" s="3" t="n">
        <v>69</v>
      </c>
      <c r="G23" s="2"/>
    </row>
    <row r="24" customFormat="false" ht="15" hidden="false" customHeight="false" outlineLevel="0" collapsed="false">
      <c r="A24" s="2" t="s">
        <v>529</v>
      </c>
      <c r="B24" s="2" t="s">
        <v>530</v>
      </c>
      <c r="C24" s="2" t="s">
        <v>517</v>
      </c>
      <c r="D24" s="2" t="n">
        <v>20</v>
      </c>
      <c r="E24" s="3" t="n">
        <v>65</v>
      </c>
      <c r="F24" s="3" t="n">
        <v>39</v>
      </c>
      <c r="G24" s="2"/>
    </row>
    <row r="25" customFormat="false" ht="15" hidden="false" customHeight="false" outlineLevel="0" collapsed="false">
      <c r="A25" s="2" t="s">
        <v>531</v>
      </c>
      <c r="B25" s="2" t="s">
        <v>532</v>
      </c>
      <c r="C25" s="2" t="s">
        <v>494</v>
      </c>
      <c r="D25" s="2" t="n">
        <v>27</v>
      </c>
      <c r="E25" s="3" t="n">
        <v>105</v>
      </c>
      <c r="F25" s="3" t="n">
        <v>63</v>
      </c>
      <c r="G25" s="2"/>
    </row>
    <row r="26" customFormat="false" ht="15" hidden="false" customHeight="false" outlineLevel="0" collapsed="false">
      <c r="A26" s="2" t="s">
        <v>533</v>
      </c>
      <c r="B26" s="2" t="s">
        <v>534</v>
      </c>
      <c r="C26" s="2" t="s">
        <v>517</v>
      </c>
      <c r="D26" s="2" t="n">
        <v>25</v>
      </c>
      <c r="E26" s="3" t="n">
        <v>75</v>
      </c>
      <c r="F26" s="3" t="n">
        <v>45</v>
      </c>
      <c r="G26" s="2"/>
    </row>
    <row r="27" customFormat="false" ht="15" hidden="false" customHeight="false" outlineLevel="0" collapsed="false">
      <c r="A27" s="2" t="s">
        <v>535</v>
      </c>
      <c r="B27" s="2" t="s">
        <v>536</v>
      </c>
      <c r="C27" s="2" t="s">
        <v>494</v>
      </c>
      <c r="D27" s="2" t="n">
        <v>30</v>
      </c>
      <c r="E27" s="3" t="n">
        <v>110</v>
      </c>
      <c r="F27" s="3" t="n">
        <v>66</v>
      </c>
      <c r="G27" s="2"/>
    </row>
    <row r="28" customFormat="false" ht="15" hidden="false" customHeight="false" outlineLevel="0" collapsed="false">
      <c r="A28" s="2" t="s">
        <v>537</v>
      </c>
      <c r="B28" s="2" t="s">
        <v>538</v>
      </c>
      <c r="C28" s="2" t="s">
        <v>517</v>
      </c>
      <c r="D28" s="2" t="n">
        <v>25</v>
      </c>
      <c r="E28" s="3" t="n">
        <v>100</v>
      </c>
      <c r="F28" s="3" t="n">
        <v>60</v>
      </c>
      <c r="G28" s="2"/>
    </row>
    <row r="29" customFormat="false" ht="15" hidden="false" customHeight="false" outlineLevel="0" collapsed="false">
      <c r="A29" s="2" t="s">
        <v>539</v>
      </c>
      <c r="B29" s="2" t="s">
        <v>540</v>
      </c>
      <c r="C29" s="2" t="s">
        <v>517</v>
      </c>
      <c r="D29" s="2" t="n">
        <v>30</v>
      </c>
      <c r="E29" s="3" t="n">
        <v>110</v>
      </c>
      <c r="F29" s="3" t="n">
        <v>66</v>
      </c>
      <c r="G29" s="2"/>
    </row>
    <row r="30" customFormat="false" ht="15" hidden="false" customHeight="false" outlineLevel="0" collapsed="false">
      <c r="A30" s="2" t="s">
        <v>541</v>
      </c>
      <c r="B30" s="2" t="s">
        <v>542</v>
      </c>
      <c r="C30" s="2" t="s">
        <v>521</v>
      </c>
      <c r="D30" s="2" t="n">
        <v>15</v>
      </c>
      <c r="E30" s="3" t="n">
        <v>48</v>
      </c>
      <c r="F30" s="3" t="n">
        <v>28.8</v>
      </c>
      <c r="G30" s="2"/>
    </row>
    <row r="31" customFormat="false" ht="15" hidden="false" customHeight="false" outlineLevel="0" collapsed="false">
      <c r="A31" s="2" t="s">
        <v>543</v>
      </c>
      <c r="B31" s="2" t="s">
        <v>544</v>
      </c>
      <c r="C31" s="2" t="s">
        <v>498</v>
      </c>
      <c r="D31" s="2" t="n">
        <v>19</v>
      </c>
      <c r="E31" s="3" t="n">
        <v>60</v>
      </c>
      <c r="F31" s="3" t="n">
        <v>36</v>
      </c>
      <c r="G31" s="2"/>
    </row>
    <row r="32" customFormat="false" ht="15" hidden="false" customHeight="false" outlineLevel="0" collapsed="false">
      <c r="A32" s="2" t="s">
        <v>545</v>
      </c>
      <c r="B32" s="2" t="s">
        <v>546</v>
      </c>
      <c r="C32" s="2" t="s">
        <v>491</v>
      </c>
      <c r="D32" s="2" t="n">
        <v>34</v>
      </c>
      <c r="E32" s="3" t="n">
        <v>250</v>
      </c>
      <c r="F32" s="3" t="n">
        <v>150</v>
      </c>
      <c r="G32" s="2"/>
    </row>
    <row r="33" customFormat="false" ht="15" hidden="false" customHeight="false" outlineLevel="0" collapsed="false">
      <c r="A33" s="2" t="s">
        <v>547</v>
      </c>
      <c r="B33" s="2" t="s">
        <v>534</v>
      </c>
      <c r="C33" s="2" t="s">
        <v>517</v>
      </c>
      <c r="D33" s="2" t="n">
        <v>28</v>
      </c>
      <c r="E33" s="3" t="n">
        <v>75</v>
      </c>
      <c r="F33" s="3" t="n">
        <v>45</v>
      </c>
      <c r="G33" s="2"/>
    </row>
    <row r="34" customFormat="false" ht="15" hidden="false" customHeight="false" outlineLevel="0" collapsed="false">
      <c r="A34" s="2" t="s">
        <v>548</v>
      </c>
      <c r="B34" s="2" t="s">
        <v>549</v>
      </c>
      <c r="C34" s="2" t="s">
        <v>498</v>
      </c>
      <c r="D34" s="2" t="n">
        <v>28</v>
      </c>
      <c r="E34" s="3" t="n">
        <v>110</v>
      </c>
      <c r="F34" s="3" t="n">
        <v>66</v>
      </c>
      <c r="G34" s="3" t="n">
        <v>77</v>
      </c>
    </row>
    <row r="35" customFormat="false" ht="15" hidden="false" customHeight="false" outlineLevel="0" collapsed="false">
      <c r="A35" s="2" t="s">
        <v>550</v>
      </c>
      <c r="B35" s="2" t="s">
        <v>551</v>
      </c>
      <c r="C35" s="2" t="s">
        <v>491</v>
      </c>
      <c r="D35" s="2" t="n">
        <v>50</v>
      </c>
      <c r="E35" s="3" t="n">
        <v>375</v>
      </c>
      <c r="F35" s="3" t="n">
        <v>225</v>
      </c>
      <c r="G35" s="2"/>
    </row>
    <row r="36" customFormat="false" ht="15" hidden="false" customHeight="false" outlineLevel="0" collapsed="false">
      <c r="A36" s="2" t="s">
        <v>552</v>
      </c>
      <c r="B36" s="2" t="s">
        <v>540</v>
      </c>
      <c r="C36" s="2" t="s">
        <v>517</v>
      </c>
      <c r="D36" s="2" t="n">
        <v>34</v>
      </c>
      <c r="E36" s="3" t="n">
        <v>115</v>
      </c>
      <c r="F36" s="3" t="n">
        <v>69</v>
      </c>
      <c r="G36" s="2"/>
    </row>
    <row r="37" customFormat="false" ht="15" hidden="false" customHeight="false" outlineLevel="0" collapsed="false">
      <c r="A37" s="2" t="s">
        <v>553</v>
      </c>
      <c r="B37" s="2" t="s">
        <v>540</v>
      </c>
      <c r="C37" s="2" t="s">
        <v>498</v>
      </c>
      <c r="D37" s="2" t="n">
        <v>34</v>
      </c>
      <c r="E37" s="3" t="n">
        <v>115</v>
      </c>
      <c r="F37" s="3" t="n">
        <v>69</v>
      </c>
      <c r="G37" s="3" t="n">
        <v>80.5</v>
      </c>
    </row>
    <row r="38" customFormat="false" ht="15" hidden="false" customHeight="false" outlineLevel="0" collapsed="false">
      <c r="A38" s="2" t="s">
        <v>554</v>
      </c>
      <c r="B38" s="2" t="s">
        <v>555</v>
      </c>
      <c r="C38" s="2" t="s">
        <v>491</v>
      </c>
      <c r="D38" s="2" t="n">
        <v>64</v>
      </c>
      <c r="E38" s="3" t="n">
        <v>425</v>
      </c>
      <c r="F38" s="3" t="n">
        <v>255</v>
      </c>
      <c r="G38" s="2"/>
    </row>
    <row r="39" customFormat="false" ht="15" hidden="false" customHeight="false" outlineLevel="0" collapsed="false">
      <c r="A39" s="2" t="s">
        <v>222</v>
      </c>
      <c r="B39" s="2" t="s">
        <v>556</v>
      </c>
      <c r="C39" s="2" t="s">
        <v>486</v>
      </c>
      <c r="D39" s="2" t="n">
        <v>27</v>
      </c>
      <c r="E39" s="3" t="n">
        <v>95</v>
      </c>
      <c r="F39" s="2"/>
      <c r="G39" s="3" t="n">
        <v>66.5</v>
      </c>
    </row>
    <row r="40" customFormat="false" ht="15" hidden="false" customHeight="false" outlineLevel="0" collapsed="false">
      <c r="A40" s="2" t="s">
        <v>557</v>
      </c>
      <c r="B40" s="2" t="s">
        <v>558</v>
      </c>
      <c r="C40" s="2" t="s">
        <v>486</v>
      </c>
      <c r="D40" s="2" t="n">
        <v>19</v>
      </c>
      <c r="E40" s="3" t="n">
        <v>100</v>
      </c>
      <c r="F40" s="2"/>
      <c r="G40" s="3" t="n">
        <v>70</v>
      </c>
    </row>
    <row r="41" customFormat="false" ht="15" hidden="false" customHeight="false" outlineLevel="0" collapsed="false">
      <c r="A41" s="2" t="s">
        <v>559</v>
      </c>
      <c r="B41" s="2" t="s">
        <v>560</v>
      </c>
      <c r="C41" s="2" t="s">
        <v>486</v>
      </c>
      <c r="D41" s="2" t="n">
        <v>23</v>
      </c>
      <c r="E41" s="3" t="n">
        <v>105</v>
      </c>
      <c r="F41" s="2"/>
      <c r="G41" s="3" t="n">
        <v>73.5</v>
      </c>
    </row>
    <row r="42" customFormat="false" ht="15" hidden="false" customHeight="false" outlineLevel="0" collapsed="false">
      <c r="A42" s="2" t="s">
        <v>561</v>
      </c>
      <c r="B42" s="2" t="s">
        <v>562</v>
      </c>
      <c r="C42" s="2" t="s">
        <v>486</v>
      </c>
      <c r="D42" s="2" t="n">
        <v>21</v>
      </c>
      <c r="E42" s="3" t="n">
        <v>105</v>
      </c>
      <c r="F42" s="2"/>
      <c r="G42" s="3" t="n">
        <v>73.5</v>
      </c>
    </row>
    <row r="43" customFormat="false" ht="15" hidden="false" customHeight="false" outlineLevel="0" collapsed="false">
      <c r="A43" s="2" t="s">
        <v>563</v>
      </c>
      <c r="B43" s="2" t="s">
        <v>564</v>
      </c>
      <c r="C43" s="2" t="s">
        <v>486</v>
      </c>
      <c r="D43" s="2" t="n">
        <v>33</v>
      </c>
      <c r="E43" s="3" t="n">
        <v>140</v>
      </c>
      <c r="F43" s="2"/>
      <c r="G43" s="3" t="n">
        <v>98</v>
      </c>
    </row>
    <row r="44" customFormat="false" ht="15" hidden="false" customHeight="false" outlineLevel="0" collapsed="false">
      <c r="A44" s="2" t="s">
        <v>565</v>
      </c>
      <c r="B44" s="2" t="s">
        <v>560</v>
      </c>
      <c r="C44" s="2" t="s">
        <v>486</v>
      </c>
      <c r="D44" s="2" t="n">
        <v>21</v>
      </c>
      <c r="E44" s="3" t="n">
        <v>115</v>
      </c>
      <c r="F44" s="3" t="n">
        <v>69</v>
      </c>
      <c r="G44" s="3" t="n">
        <v>88.55</v>
      </c>
    </row>
    <row r="45" customFormat="false" ht="15" hidden="false" customHeight="false" outlineLevel="0" collapsed="false">
      <c r="A45" s="2" t="s">
        <v>228</v>
      </c>
      <c r="B45" s="2" t="s">
        <v>566</v>
      </c>
      <c r="C45" s="2" t="s">
        <v>486</v>
      </c>
      <c r="D45" s="2" t="n">
        <v>40</v>
      </c>
      <c r="E45" s="3" t="n">
        <v>125</v>
      </c>
      <c r="F45" s="2"/>
      <c r="G45" s="3" t="n">
        <v>87.5</v>
      </c>
    </row>
    <row r="46" customFormat="false" ht="15" hidden="false" customHeight="false" outlineLevel="0" collapsed="false">
      <c r="A46" s="2" t="s">
        <v>284</v>
      </c>
      <c r="B46" s="2" t="s">
        <v>567</v>
      </c>
      <c r="C46" s="2" t="s">
        <v>486</v>
      </c>
      <c r="D46" s="2" t="n">
        <v>23</v>
      </c>
      <c r="E46" s="3" t="n">
        <v>140</v>
      </c>
      <c r="F46" s="3" t="n">
        <v>84</v>
      </c>
      <c r="G46" s="2"/>
    </row>
    <row r="47" customFormat="false" ht="15" hidden="false" customHeight="false" outlineLevel="0" collapsed="false">
      <c r="A47" s="2" t="s">
        <v>292</v>
      </c>
      <c r="B47" s="2" t="s">
        <v>568</v>
      </c>
      <c r="C47" s="2" t="s">
        <v>486</v>
      </c>
      <c r="D47" s="2" t="n">
        <v>37</v>
      </c>
      <c r="E47" s="3" t="n">
        <v>275</v>
      </c>
      <c r="F47" s="3" t="n">
        <v>165</v>
      </c>
      <c r="G47" s="2"/>
    </row>
    <row r="48" customFormat="false" ht="15" hidden="false" customHeight="false" outlineLevel="0" collapsed="false">
      <c r="A48" s="2" t="s">
        <v>569</v>
      </c>
      <c r="B48" s="2" t="s">
        <v>570</v>
      </c>
      <c r="C48" s="2" t="s">
        <v>498</v>
      </c>
      <c r="D48" s="2" t="n">
        <v>16</v>
      </c>
      <c r="E48" s="3" t="n">
        <v>110</v>
      </c>
      <c r="F48" s="2"/>
      <c r="G48" s="3" t="n">
        <v>77</v>
      </c>
    </row>
    <row r="49" customFormat="false" ht="15" hidden="false" customHeight="false" outlineLevel="0" collapsed="false">
      <c r="A49" s="2" t="s">
        <v>571</v>
      </c>
      <c r="B49" s="2" t="s">
        <v>572</v>
      </c>
      <c r="C49" s="2" t="s">
        <v>498</v>
      </c>
      <c r="D49" s="2" t="n">
        <v>30</v>
      </c>
      <c r="E49" s="3" t="n">
        <v>115</v>
      </c>
      <c r="F49" s="2"/>
      <c r="G49" s="3" t="n">
        <v>80.5</v>
      </c>
    </row>
    <row r="50" customFormat="false" ht="15" hidden="false" customHeight="false" outlineLevel="0" collapsed="false">
      <c r="A50" s="2" t="s">
        <v>573</v>
      </c>
      <c r="B50" s="2" t="s">
        <v>574</v>
      </c>
      <c r="C50" s="2" t="s">
        <v>498</v>
      </c>
      <c r="D50" s="2" t="n">
        <v>35</v>
      </c>
      <c r="E50" s="3" t="n">
        <v>115</v>
      </c>
      <c r="F50" s="2"/>
      <c r="G50" s="3" t="n">
        <v>80.5</v>
      </c>
    </row>
  </sheetData>
  <autoFilter ref="A1:G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575</v>
      </c>
      <c r="B1" s="1" t="s">
        <v>576</v>
      </c>
      <c r="C1" s="1" t="s">
        <v>240</v>
      </c>
      <c r="D1" s="1" t="s">
        <v>368</v>
      </c>
      <c r="E1" s="1" t="s">
        <v>369</v>
      </c>
    </row>
    <row r="2" customFormat="false" ht="15" hidden="false" customHeight="false" outlineLevel="0" collapsed="false">
      <c r="A2" s="2" t="s">
        <v>577</v>
      </c>
      <c r="B2" s="2" t="s">
        <v>578</v>
      </c>
      <c r="C2" s="3" t="n">
        <v>2.5</v>
      </c>
      <c r="D2" s="3" t="n">
        <v>1.5</v>
      </c>
      <c r="E2" s="2"/>
    </row>
    <row r="3" customFormat="false" ht="15" hidden="false" customHeight="false" outlineLevel="0" collapsed="false">
      <c r="A3" s="2" t="s">
        <v>577</v>
      </c>
      <c r="B3" s="2" t="s">
        <v>579</v>
      </c>
      <c r="C3" s="3" t="n">
        <v>3</v>
      </c>
      <c r="D3" s="3" t="n">
        <v>1.8</v>
      </c>
      <c r="E3" s="2"/>
    </row>
    <row r="4" customFormat="false" ht="15" hidden="false" customHeight="false" outlineLevel="0" collapsed="false">
      <c r="A4" s="2" t="s">
        <v>577</v>
      </c>
      <c r="B4" s="2" t="s">
        <v>580</v>
      </c>
      <c r="C4" s="3" t="n">
        <v>3.5</v>
      </c>
      <c r="D4" s="3" t="n">
        <v>2.1</v>
      </c>
      <c r="E4" s="2"/>
    </row>
    <row r="5" customFormat="false" ht="15" hidden="false" customHeight="false" outlineLevel="0" collapsed="false">
      <c r="A5" s="2" t="s">
        <v>577</v>
      </c>
      <c r="B5" s="2" t="s">
        <v>581</v>
      </c>
      <c r="C5" s="3" t="n">
        <v>4</v>
      </c>
      <c r="D5" s="3" t="n">
        <v>2.4</v>
      </c>
      <c r="E5" s="2"/>
    </row>
    <row r="6" customFormat="false" ht="15" hidden="false" customHeight="false" outlineLevel="0" collapsed="false">
      <c r="A6" s="2" t="s">
        <v>577</v>
      </c>
      <c r="B6" s="2" t="s">
        <v>582</v>
      </c>
      <c r="C6" s="3" t="n">
        <v>4.5</v>
      </c>
      <c r="D6" s="3" t="n">
        <v>2.7</v>
      </c>
      <c r="E6" s="2"/>
    </row>
    <row r="7" customFormat="false" ht="15" hidden="false" customHeight="false" outlineLevel="0" collapsed="false">
      <c r="A7" s="2" t="s">
        <v>577</v>
      </c>
      <c r="B7" s="2" t="s">
        <v>583</v>
      </c>
      <c r="C7" s="3" t="n">
        <v>5</v>
      </c>
      <c r="D7" s="3" t="n">
        <v>3</v>
      </c>
      <c r="E7" s="2"/>
    </row>
    <row r="8" customFormat="false" ht="15" hidden="false" customHeight="false" outlineLevel="0" collapsed="false">
      <c r="A8" s="2" t="s">
        <v>577</v>
      </c>
      <c r="B8" s="2" t="s">
        <v>584</v>
      </c>
      <c r="C8" s="3" t="n">
        <v>6.5</v>
      </c>
      <c r="D8" s="3" t="n">
        <v>3.9</v>
      </c>
      <c r="E8" s="2"/>
    </row>
    <row r="9" customFormat="false" ht="15" hidden="false" customHeight="false" outlineLevel="0" collapsed="false">
      <c r="A9" s="2" t="s">
        <v>577</v>
      </c>
      <c r="B9" s="2" t="s">
        <v>585</v>
      </c>
      <c r="C9" s="3" t="n">
        <v>8.5</v>
      </c>
      <c r="D9" s="3" t="n">
        <v>5.1</v>
      </c>
      <c r="E9" s="2"/>
    </row>
    <row r="10" customFormat="false" ht="15" hidden="false" customHeight="false" outlineLevel="0" collapsed="false">
      <c r="A10" s="2" t="s">
        <v>586</v>
      </c>
      <c r="B10" s="2" t="s">
        <v>578</v>
      </c>
      <c r="C10" s="3" t="n">
        <v>3</v>
      </c>
      <c r="D10" s="3" t="n">
        <v>1.8</v>
      </c>
      <c r="E10" s="3" t="n">
        <v>2.1</v>
      </c>
    </row>
    <row r="11" customFormat="false" ht="15" hidden="false" customHeight="false" outlineLevel="0" collapsed="false">
      <c r="A11" s="2" t="s">
        <v>586</v>
      </c>
      <c r="B11" s="2" t="s">
        <v>579</v>
      </c>
      <c r="C11" s="3" t="n">
        <v>3.25</v>
      </c>
      <c r="D11" s="3" t="n">
        <v>1.95</v>
      </c>
      <c r="E11" s="3" t="n">
        <v>2.27</v>
      </c>
    </row>
    <row r="12" customFormat="false" ht="15" hidden="false" customHeight="false" outlineLevel="0" collapsed="false">
      <c r="A12" s="2" t="s">
        <v>586</v>
      </c>
      <c r="B12" s="2" t="s">
        <v>580</v>
      </c>
      <c r="C12" s="3" t="n">
        <v>3.75</v>
      </c>
      <c r="D12" s="3" t="n">
        <v>2.25</v>
      </c>
      <c r="E12" s="3" t="n">
        <v>2.62</v>
      </c>
    </row>
    <row r="13" customFormat="false" ht="15" hidden="false" customHeight="false" outlineLevel="0" collapsed="false">
      <c r="A13" s="2" t="s">
        <v>586</v>
      </c>
      <c r="B13" s="2" t="s">
        <v>581</v>
      </c>
      <c r="C13" s="3" t="n">
        <v>4.5</v>
      </c>
      <c r="D13" s="3" t="n">
        <v>2.7</v>
      </c>
      <c r="E13" s="3" t="n">
        <v>3.15</v>
      </c>
    </row>
    <row r="14" customFormat="false" ht="15" hidden="false" customHeight="false" outlineLevel="0" collapsed="false">
      <c r="A14" s="2" t="s">
        <v>586</v>
      </c>
      <c r="B14" s="2" t="s">
        <v>582</v>
      </c>
      <c r="C14" s="3" t="n">
        <v>6</v>
      </c>
      <c r="D14" s="3" t="n">
        <v>3.6</v>
      </c>
      <c r="E14" s="3" t="n">
        <v>4.2</v>
      </c>
    </row>
    <row r="15" customFormat="false" ht="15" hidden="false" customHeight="false" outlineLevel="0" collapsed="false">
      <c r="A15" s="2" t="s">
        <v>586</v>
      </c>
      <c r="B15" s="2" t="s">
        <v>583</v>
      </c>
      <c r="C15" s="3" t="n">
        <v>6.95</v>
      </c>
      <c r="D15" s="3" t="n">
        <v>4.17</v>
      </c>
      <c r="E15" s="3" t="n">
        <v>4.87</v>
      </c>
    </row>
    <row r="16" customFormat="false" ht="15" hidden="false" customHeight="false" outlineLevel="0" collapsed="false">
      <c r="A16" s="2" t="s">
        <v>586</v>
      </c>
      <c r="B16" s="2" t="s">
        <v>584</v>
      </c>
      <c r="C16" s="3" t="n">
        <v>8</v>
      </c>
      <c r="D16" s="3" t="n">
        <v>4.8</v>
      </c>
      <c r="E16" s="3" t="n">
        <v>5.6</v>
      </c>
    </row>
    <row r="17" customFormat="false" ht="15" hidden="false" customHeight="false" outlineLevel="0" collapsed="false">
      <c r="A17" s="2" t="s">
        <v>586</v>
      </c>
      <c r="B17" s="2" t="s">
        <v>587</v>
      </c>
      <c r="C17" s="3" t="n">
        <v>8.75</v>
      </c>
      <c r="D17" s="3" t="n">
        <v>5.25</v>
      </c>
      <c r="E17" s="3" t="n">
        <v>6.12</v>
      </c>
    </row>
    <row r="18" customFormat="false" ht="15" hidden="false" customHeight="false" outlineLevel="0" collapsed="false">
      <c r="A18" s="2" t="s">
        <v>586</v>
      </c>
      <c r="B18" s="2" t="s">
        <v>585</v>
      </c>
      <c r="C18" s="3" t="n">
        <v>9.75</v>
      </c>
      <c r="D18" s="3" t="n">
        <v>5.85</v>
      </c>
      <c r="E18" s="3" t="n">
        <v>6.82</v>
      </c>
    </row>
    <row r="19" customFormat="false" ht="15" hidden="false" customHeight="false" outlineLevel="0" collapsed="false">
      <c r="A19" s="2" t="s">
        <v>586</v>
      </c>
      <c r="B19" s="2" t="s">
        <v>588</v>
      </c>
      <c r="C19" s="3" t="n">
        <v>10.75</v>
      </c>
      <c r="D19" s="3" t="n">
        <v>6.45</v>
      </c>
      <c r="E19" s="3" t="n">
        <v>7.52</v>
      </c>
    </row>
    <row r="20" customFormat="false" ht="15" hidden="false" customHeight="false" outlineLevel="0" collapsed="false">
      <c r="A20" s="2" t="s">
        <v>586</v>
      </c>
      <c r="B20" s="2" t="s">
        <v>589</v>
      </c>
      <c r="C20" s="3" t="n">
        <v>11.75</v>
      </c>
      <c r="D20" s="3" t="n">
        <v>7.05</v>
      </c>
      <c r="E20" s="3" t="n">
        <v>8.22</v>
      </c>
    </row>
    <row r="21" customFormat="false" ht="15" hidden="false" customHeight="false" outlineLevel="0" collapsed="false">
      <c r="A21" s="2" t="s">
        <v>586</v>
      </c>
      <c r="B21" s="2" t="s">
        <v>590</v>
      </c>
      <c r="C21" s="3" t="n">
        <v>13.75</v>
      </c>
      <c r="D21" s="3" t="n">
        <v>8.25</v>
      </c>
      <c r="E21" s="3" t="n">
        <v>9.62</v>
      </c>
    </row>
  </sheetData>
  <autoFilter ref="A1:E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8" min="6" style="0" width="13"/>
  </cols>
  <sheetData>
    <row r="1" customFormat="false" ht="27.75" hidden="false" customHeight="true" outlineLevel="0" collapsed="false">
      <c r="A1" s="1" t="s">
        <v>591</v>
      </c>
      <c r="B1" s="1" t="s">
        <v>592</v>
      </c>
      <c r="C1" s="1" t="s">
        <v>593</v>
      </c>
      <c r="D1" s="1" t="s">
        <v>594</v>
      </c>
      <c r="E1" s="1" t="s">
        <v>595</v>
      </c>
      <c r="F1" s="1" t="s">
        <v>596</v>
      </c>
      <c r="G1" s="1" t="s">
        <v>597</v>
      </c>
      <c r="H1" s="1" t="s">
        <v>598</v>
      </c>
    </row>
    <row r="2" customFormat="false" ht="15" hidden="false" customHeight="false" outlineLevel="0" collapsed="false">
      <c r="A2" s="2" t="s">
        <v>599</v>
      </c>
      <c r="B2" s="2" t="n">
        <v>120</v>
      </c>
      <c r="C2" s="3" t="n">
        <v>150</v>
      </c>
      <c r="D2" s="3" t="n">
        <v>425</v>
      </c>
      <c r="E2" s="3" t="n">
        <v>425</v>
      </c>
      <c r="F2" s="3" t="n">
        <v>90</v>
      </c>
      <c r="G2" s="3" t="n">
        <v>255</v>
      </c>
      <c r="H2" s="3" t="n">
        <v>255</v>
      </c>
    </row>
    <row r="3" customFormat="false" ht="15" hidden="false" customHeight="false" outlineLevel="0" collapsed="false">
      <c r="A3" s="2" t="s">
        <v>600</v>
      </c>
      <c r="B3" s="2" t="s">
        <v>601</v>
      </c>
      <c r="C3" s="3" t="n">
        <v>300</v>
      </c>
      <c r="D3" s="3" t="n">
        <v>575</v>
      </c>
      <c r="E3" s="3" t="n">
        <v>575</v>
      </c>
      <c r="F3" s="3" t="n">
        <v>180</v>
      </c>
      <c r="G3" s="3" t="n">
        <v>345</v>
      </c>
      <c r="H3" s="3" t="n">
        <v>345</v>
      </c>
    </row>
    <row r="4" customFormat="false" ht="15" hidden="false" customHeight="false" outlineLevel="0" collapsed="false">
      <c r="A4" s="2" t="s">
        <v>602</v>
      </c>
      <c r="B4" s="2" t="s">
        <v>601</v>
      </c>
      <c r="C4" s="3" t="n">
        <v>425</v>
      </c>
      <c r="D4" s="3" t="n">
        <v>700</v>
      </c>
      <c r="E4" s="3" t="n">
        <v>700</v>
      </c>
      <c r="F4" s="3" t="n">
        <v>255</v>
      </c>
      <c r="G4" s="3" t="n">
        <v>420</v>
      </c>
      <c r="H4" s="3" t="n">
        <v>420</v>
      </c>
    </row>
    <row r="5" customFormat="false" ht="15" hidden="false" customHeight="false" outlineLevel="0" collapsed="false">
      <c r="A5" s="2" t="s">
        <v>603</v>
      </c>
      <c r="B5" s="2" t="s">
        <v>601</v>
      </c>
      <c r="C5" s="3" t="n">
        <v>545</v>
      </c>
      <c r="D5" s="2"/>
      <c r="E5" s="3" t="n">
        <v>820</v>
      </c>
      <c r="F5" s="3" t="n">
        <v>327</v>
      </c>
      <c r="G5" s="2"/>
      <c r="H5" s="3" t="n">
        <v>492</v>
      </c>
    </row>
    <row r="6" customFormat="false" ht="15" hidden="false" customHeight="false" outlineLevel="0" collapsed="false">
      <c r="A6" s="2" t="s">
        <v>604</v>
      </c>
      <c r="B6" s="2" t="s">
        <v>601</v>
      </c>
      <c r="C6" s="3" t="n">
        <v>650</v>
      </c>
      <c r="D6" s="2"/>
      <c r="E6" s="3" t="n">
        <v>925</v>
      </c>
      <c r="F6" s="3" t="n">
        <v>390</v>
      </c>
      <c r="G6" s="2"/>
      <c r="H6" s="3" t="n">
        <v>555</v>
      </c>
    </row>
    <row r="7" customFormat="false" ht="15" hidden="false" customHeight="false" outlineLevel="0" collapsed="false">
      <c r="A7" s="2" t="s">
        <v>605</v>
      </c>
      <c r="B7" s="2" t="s">
        <v>601</v>
      </c>
      <c r="C7" s="3" t="n">
        <v>775</v>
      </c>
      <c r="D7" s="2"/>
      <c r="E7" s="3" t="n">
        <v>1050</v>
      </c>
      <c r="F7" s="3" t="n">
        <v>465</v>
      </c>
      <c r="G7" s="2"/>
      <c r="H7" s="3" t="n">
        <v>630</v>
      </c>
    </row>
    <row r="8" customFormat="false" ht="15" hidden="false" customHeight="false" outlineLevel="0" collapsed="false">
      <c r="A8" s="2" t="s">
        <v>606</v>
      </c>
      <c r="B8" s="2" t="s">
        <v>601</v>
      </c>
      <c r="C8" s="3" t="n">
        <v>900</v>
      </c>
      <c r="D8" s="2"/>
      <c r="E8" s="3" t="n">
        <v>1180</v>
      </c>
      <c r="F8" s="3" t="n">
        <v>540</v>
      </c>
      <c r="G8" s="2"/>
      <c r="H8" s="3" t="n">
        <v>708</v>
      </c>
    </row>
    <row r="9" customFormat="false" ht="15" hidden="false" customHeight="false" outlineLevel="0" collapsed="false">
      <c r="A9" s="2" t="s">
        <v>607</v>
      </c>
      <c r="B9" s="2" t="s">
        <v>601</v>
      </c>
      <c r="C9" s="3" t="n">
        <v>1000</v>
      </c>
      <c r="D9" s="2"/>
      <c r="E9" s="3" t="n">
        <v>1300</v>
      </c>
      <c r="F9" s="3" t="n">
        <v>600</v>
      </c>
      <c r="G9" s="2"/>
      <c r="H9" s="3" t="n">
        <v>780</v>
      </c>
    </row>
    <row r="10" customFormat="false" ht="15" hidden="false" customHeight="false" outlineLevel="0" collapsed="false">
      <c r="A10" s="2" t="s">
        <v>608</v>
      </c>
      <c r="B10" s="2" t="s">
        <v>601</v>
      </c>
      <c r="C10" s="3" t="n">
        <v>1100</v>
      </c>
      <c r="D10" s="2"/>
      <c r="E10" s="3" t="n">
        <v>1400</v>
      </c>
      <c r="F10" s="3" t="n">
        <v>660</v>
      </c>
      <c r="G10" s="2"/>
      <c r="H10" s="3" t="n">
        <v>840</v>
      </c>
    </row>
  </sheetData>
  <autoFilter ref="A1:H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6" t="s">
        <v>609</v>
      </c>
    </row>
    <row r="2" customFormat="false" ht="15" hidden="false" customHeight="false" outlineLevel="0" collapsed="false">
      <c r="A2" s="7" t="s">
        <v>610</v>
      </c>
    </row>
    <row r="3" customFormat="false" ht="15" hidden="false" customHeight="false" outlineLevel="0" collapsed="false">
      <c r="A3" s="7" t="s">
        <v>611</v>
      </c>
    </row>
    <row r="4" customFormat="false" ht="15" hidden="false" customHeight="false" outlineLevel="0" collapsed="false">
      <c r="A4" s="7" t="s">
        <v>612</v>
      </c>
    </row>
    <row r="5" customFormat="false" ht="15" hidden="false" customHeight="false" outlineLevel="0" collapsed="false">
      <c r="A5" s="7"/>
    </row>
    <row r="6" customFormat="false" ht="15" hidden="false" customHeight="false" outlineLevel="0" collapsed="false">
      <c r="A6" s="6" t="s">
        <v>613</v>
      </c>
    </row>
    <row r="7" customFormat="false" ht="15" hidden="false" customHeight="false" outlineLevel="0" collapsed="false">
      <c r="A7" s="7" t="s">
        <v>614</v>
      </c>
    </row>
    <row r="8" customFormat="false" ht="15" hidden="false" customHeight="false" outlineLevel="0" collapsed="false">
      <c r="A8" s="7" t="s">
        <v>615</v>
      </c>
    </row>
    <row r="9" customFormat="false" ht="15" hidden="false" customHeight="false" outlineLevel="0" collapsed="false">
      <c r="A9" s="7" t="s">
        <v>616</v>
      </c>
    </row>
    <row r="10" customFormat="false" ht="15" hidden="false" customHeight="false" outlineLevel="0" collapsed="false">
      <c r="A10" s="7" t="s">
        <v>617</v>
      </c>
    </row>
    <row r="11" customFormat="false" ht="15" hidden="false" customHeight="false" outlineLevel="0" collapsed="false">
      <c r="A11" s="7" t="s">
        <v>618</v>
      </c>
    </row>
    <row r="12" customFormat="false" ht="15" hidden="false" customHeight="false" outlineLevel="0" collapsed="false">
      <c r="A12" s="7" t="s">
        <v>619</v>
      </c>
    </row>
    <row r="13" customFormat="false" ht="15" hidden="false" customHeight="false" outlineLevel="0" collapsed="false">
      <c r="A13" s="7" t="s">
        <v>620</v>
      </c>
    </row>
    <row r="14" customFormat="false" ht="15" hidden="false" customHeight="false" outlineLevel="0" collapsed="false">
      <c r="A14" s="7" t="s">
        <v>621</v>
      </c>
    </row>
    <row r="15" customFormat="false" ht="15" hidden="false" customHeight="false" outlineLevel="0" collapsed="false">
      <c r="A15" s="7"/>
    </row>
    <row r="16" customFormat="false" ht="15" hidden="false" customHeight="false" outlineLevel="0" collapsed="false">
      <c r="A16" s="6" t="s">
        <v>622</v>
      </c>
    </row>
    <row r="17" customFormat="false" ht="15" hidden="false" customHeight="false" outlineLevel="0" collapsed="false">
      <c r="A17" s="7" t="s">
        <v>623</v>
      </c>
    </row>
    <row r="18" customFormat="false" ht="15" hidden="false" customHeight="false" outlineLevel="0" collapsed="false">
      <c r="A18" s="7"/>
    </row>
    <row r="19" customFormat="false" ht="15" hidden="false" customHeight="false" outlineLevel="0" collapsed="false">
      <c r="A19" s="6" t="s">
        <v>624</v>
      </c>
    </row>
    <row r="20" customFormat="false" ht="15" hidden="false" customHeight="false" outlineLevel="0" collapsed="false">
      <c r="A20" s="7" t="s">
        <v>625</v>
      </c>
    </row>
    <row r="21" customFormat="false" ht="15" hidden="false" customHeight="false" outlineLevel="0" collapsed="false">
      <c r="A21" s="7" t="s">
        <v>626</v>
      </c>
    </row>
    <row r="22" customFormat="false" ht="15" hidden="false" customHeight="false" outlineLevel="0" collapsed="false">
      <c r="A22" s="7" t="s">
        <v>627</v>
      </c>
    </row>
    <row r="23" customFormat="false" ht="15" hidden="false" customHeight="false" outlineLevel="0" collapsed="false">
      <c r="A23" s="7" t="s">
        <v>628</v>
      </c>
    </row>
    <row r="24" customFormat="false" ht="15" hidden="false" customHeight="false" outlineLevel="0" collapsed="false">
      <c r="A24" s="7"/>
    </row>
    <row r="25" customFormat="false" ht="15" hidden="false" customHeight="false" outlineLevel="0" collapsed="false">
      <c r="A25" s="6" t="s">
        <v>629</v>
      </c>
    </row>
    <row r="26" customFormat="false" ht="15" hidden="false" customHeight="false" outlineLevel="0" collapsed="false">
      <c r="A26" s="7" t="s">
        <v>630</v>
      </c>
    </row>
    <row r="27" customFormat="false" ht="15" hidden="false" customHeight="false" outlineLevel="0" collapsed="false">
      <c r="A27" s="7" t="s">
        <v>631</v>
      </c>
    </row>
    <row r="28" customFormat="false" ht="15" hidden="false" customHeight="false" outlineLevel="0" collapsed="false">
      <c r="A28" s="7" t="s">
        <v>632</v>
      </c>
    </row>
    <row r="29" customFormat="false" ht="15" hidden="false" customHeight="false" outlineLevel="0" collapsed="false">
      <c r="A29" s="7" t="s">
        <v>633</v>
      </c>
    </row>
    <row r="30" customFormat="false" ht="15" hidden="false" customHeight="false" outlineLevel="0" collapsed="false">
      <c r="A30" s="7" t="s">
        <v>634</v>
      </c>
    </row>
    <row r="31" customFormat="false" ht="15" hidden="false" customHeight="false" outlineLevel="0" collapsed="false">
      <c r="A31" s="7" t="s">
        <v>635</v>
      </c>
    </row>
    <row r="32" customFormat="false" ht="15" hidden="false" customHeight="false" outlineLevel="0" collapsed="false">
      <c r="A32" s="7" t="s">
        <v>636</v>
      </c>
    </row>
    <row r="33" customFormat="false" ht="15" hidden="false" customHeight="false" outlineLevel="0" collapsed="false">
      <c r="A33" s="7" t="s">
        <v>637</v>
      </c>
    </row>
    <row r="34" customFormat="false" ht="15" hidden="false" customHeight="false" outlineLevel="0" collapsed="false">
      <c r="A34" s="7" t="s">
        <v>638</v>
      </c>
    </row>
    <row r="35" customFormat="false" ht="15" hidden="false" customHeight="false" outlineLevel="0" collapsed="false">
      <c r="A35" s="7" t="s">
        <v>639</v>
      </c>
    </row>
    <row r="36" customFormat="false" ht="15" hidden="false" customHeight="false" outlineLevel="0" collapsed="false">
      <c r="A36" s="7"/>
    </row>
    <row r="37" customFormat="false" ht="15" hidden="false" customHeight="false" outlineLevel="0" collapsed="false">
      <c r="A37" s="6" t="s">
        <v>640</v>
      </c>
    </row>
    <row r="38" customFormat="false" ht="15" hidden="false" customHeight="false" outlineLevel="0" collapsed="false">
      <c r="A38" s="7" t="s">
        <v>641</v>
      </c>
    </row>
    <row r="39" customFormat="false" ht="15" hidden="false" customHeight="false" outlineLevel="0" collapsed="false">
      <c r="A39" s="7" t="s">
        <v>642</v>
      </c>
    </row>
    <row r="40" customFormat="false" ht="15" hidden="false" customHeight="false" outlineLevel="0" collapsed="false">
      <c r="A40" s="7" t="s">
        <v>643</v>
      </c>
    </row>
    <row r="41" customFormat="false" ht="15" hidden="false" customHeight="false" outlineLevel="0" collapsed="false">
      <c r="A41" s="7" t="s">
        <v>644</v>
      </c>
    </row>
    <row r="42" customFormat="false" ht="15" hidden="false" customHeight="false" outlineLevel="0" collapsed="false">
      <c r="A42" s="7" t="s">
        <v>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2026-09-15T19:08:35Z</dcterms:created>
  <dc:creator>openpyxl</dc:creator>
  <dc:description/>
  <dc:language>en-US</dc:language>
  <cp:lastModifiedBy/>
  <dcterms:modified xsi:type="dcterms:W3CDTF">2026-09-15T19:08:36Z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