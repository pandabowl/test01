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Compare Audit" sheetId="1" state="visible" r:id="rId3"/>
  </sheets>
  <definedNames>
    <definedName function="false" hidden="false" localSheetId="0" name="_xlnm.Print_Titles" vbProcedure="false">'New Compare Audit'!$1:$1</definedName>
    <definedName function="false" hidden="true" localSheetId="0" name="_xlnm._FilterDatabase" vbProcedure="false">'New Compare Audit'!$A$1:$I$231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<sst xmlns="http://schemas.openxmlformats.org/spreadsheetml/2006/main" count="1196" uniqueCount="902">
  <si>
    <t xml:space="preserve">SKU</t>
  </si>
  <si>
    <t xml:space="preserve">Listing</t>
  </si>
  <si>
    <t xml:space="preserve">Current Price</t>
  </si>
  <si>
    <t xml:space="preserve">Old Compare-at</t>
  </si>
  <si>
    <t xml:space="preserve">new compare</t>
  </si>
  <si>
    <t xml:space="preserve">Matched to (2026 pricelist)</t>
  </si>
  <si>
    <t xml:space="preserve">Match</t>
  </si>
  <si>
    <t xml:space="preserve">Note / what to check</t>
  </si>
  <si>
    <t xml:space="preserve">Change</t>
  </si>
  <si>
    <t xml:space="preserve">OL186GFETLCFK</t>
  </si>
  <si>
    <t xml:space="preserve">Olympic Kilns 186Gfetlc Furniture Kit</t>
  </si>
  <si>
    <t xml:space="preserve">146.00</t>
  </si>
  <si>
    <t xml:space="preserve">Furniture Kits: 120 Volt Kilns — 18" Square</t>
  </si>
  <si>
    <t xml:space="preserve">exact</t>
  </si>
  <si>
    <t xml:space="preserve">the 18" Square kit in the 120-volt section; the 18"-wide stackable kit is $225</t>
  </si>
  <si>
    <t xml:space="preserve">OLBFEC</t>
  </si>
  <si>
    <t xml:space="preserve">Electronic Controller - Bo&amp;Fl</t>
  </si>
  <si>
    <t xml:space="preserve">1485.00</t>
  </si>
  <si>
    <t xml:space="preserve">no match</t>
  </si>
  <si>
    <t xml:space="preserve">no matching item in the 2026 pricelist</t>
  </si>
  <si>
    <t xml:space="preserve">OLECBR20</t>
  </si>
  <si>
    <t xml:space="preserve">Oval 20 - Blank Ring</t>
  </si>
  <si>
    <t xml:space="preserve">420.00</t>
  </si>
  <si>
    <t xml:space="preserve">Accessories: 20/20H" Blank Ring</t>
  </si>
  <si>
    <t xml:space="preserve">likely</t>
  </si>
  <si>
    <t xml:space="preserve">3 store SKUs map to this one ring</t>
  </si>
  <si>
    <t xml:space="preserve">OLECBR25</t>
  </si>
  <si>
    <t xml:space="preserve">Oval 25 - Blank Ring</t>
  </si>
  <si>
    <t xml:space="preserve">505.00</t>
  </si>
  <si>
    <t xml:space="preserve">Accessories: 25/25H" Blank Ring</t>
  </si>
  <si>
    <t xml:space="preserve">OLECBR30</t>
  </si>
  <si>
    <t xml:space="preserve">Oval 30 - Blank Ring</t>
  </si>
  <si>
    <t xml:space="preserve">560.00</t>
  </si>
  <si>
    <t xml:space="preserve">Accessories: 30/30H" Blank Ring</t>
  </si>
  <si>
    <t xml:space="preserve">OLHBP</t>
  </si>
  <si>
    <t xml:space="preserve">Pyrometer For Hot Box</t>
  </si>
  <si>
    <t xml:space="preserve">280.00</t>
  </si>
  <si>
    <t xml:space="preserve">Accessories: Pyrometer Digital (Studfio Kilns with Type K Thermocouple)</t>
  </si>
  <si>
    <t xml:space="preserve">review</t>
  </si>
  <si>
    <t xml:space="preserve">listing is "pyrometer for hot box"; priced as the studio digital pyrometer</t>
  </si>
  <si>
    <t xml:space="preserve">OLHS21</t>
  </si>
  <si>
    <t xml:space="preserve">olympic 21" x 1/2 shelf</t>
  </si>
  <si>
    <t xml:space="preserve">59.00</t>
  </si>
  <si>
    <t xml:space="preserve">Kiln Shelves: 23" Half Shelf</t>
  </si>
  <si>
    <t xml:space="preserve">read as a 21" half shelf; if it is the full 21" round shelf it is $105</t>
  </si>
  <si>
    <t xml:space="preserve">OLIRTS1823</t>
  </si>
  <si>
    <t xml:space="preserve">Ignit Ring &amp; Thermo Tb-18&amp;23'S</t>
  </si>
  <si>
    <t xml:space="preserve">465.00</t>
  </si>
  <si>
    <t xml:space="preserve">ignition ring &amp; thermocouple — not priced in the 2026 list</t>
  </si>
  <si>
    <t xml:space="preserve">OLIRTS28</t>
  </si>
  <si>
    <t xml:space="preserve">Ignit. Ring &amp; Thermo. Tb-28'S</t>
  </si>
  <si>
    <t xml:space="preserve">540.00</t>
  </si>
  <si>
    <t xml:space="preserve">OLTBBR18</t>
  </si>
  <si>
    <t xml:space="preserve">Torch Bearer 18 - Blank Ring</t>
  </si>
  <si>
    <t xml:space="preserve">270.00</t>
  </si>
  <si>
    <t xml:space="preserve">Torchbearer blank ring — the 2026 list only prices electric-kiln blank rings</t>
  </si>
  <si>
    <t xml:space="preserve">OLTBBR23</t>
  </si>
  <si>
    <t xml:space="preserve">Torch Bearer 23 - Blank Ring</t>
  </si>
  <si>
    <t xml:space="preserve">310.00</t>
  </si>
  <si>
    <t xml:space="preserve">OLTBBR28</t>
  </si>
  <si>
    <t xml:space="preserve">Torch Bearer 28 - Blank Ring</t>
  </si>
  <si>
    <t xml:space="preserve">430.00</t>
  </si>
  <si>
    <t xml:space="preserve">OES</t>
  </si>
  <si>
    <t xml:space="preserve">Olympic Electro Sitter To Replace Dawson Kiln Sitters</t>
  </si>
  <si>
    <t xml:space="preserve">1155.00</t>
  </si>
  <si>
    <t xml:space="preserve">Accessories: Electro Sitter (Equipped  with KilnStar Controller)</t>
  </si>
  <si>
    <t xml:space="preserve">Genesis 2.0 version is $1,450</t>
  </si>
  <si>
    <t xml:space="preserve">OL1214120</t>
  </si>
  <si>
    <t xml:space="preserve">Olympic 1214-120: Cone 4, 120 Volt Electric Kiln w/3 Key</t>
  </si>
  <si>
    <t xml:space="preserve">1849.00</t>
  </si>
  <si>
    <t xml:space="preserve">Kilns: 1214-120E (base = KilnStar)</t>
  </si>
  <si>
    <t xml:space="preserve">OL1214ERAKU</t>
  </si>
  <si>
    <t xml:space="preserve">Olympic 1214 Electric Raku Kiln With 12 key Controller</t>
  </si>
  <si>
    <t xml:space="preserve">2199.00</t>
  </si>
  <si>
    <t xml:space="preserve">Kilns: 1214 Raku E (base = KilnStar)</t>
  </si>
  <si>
    <t xml:space="preserve">OL129</t>
  </si>
  <si>
    <t xml:space="preserve">Olympic 129: Cone 6, Top Loading 120 Volt Electric Kiln with Genesis S</t>
  </si>
  <si>
    <t xml:space="preserve">1509.00</t>
  </si>
  <si>
    <t xml:space="preserve">Kilns: 129E (base = KilnStar)</t>
  </si>
  <si>
    <t xml:space="preserve">OL1414HE</t>
  </si>
  <si>
    <t xml:space="preserve">Olympic 1414HE Kiln with 3 Key Controller</t>
  </si>
  <si>
    <t xml:space="preserve">1749.00</t>
  </si>
  <si>
    <t xml:space="preserve">Kilns: 1414HE (base = KilnStar)</t>
  </si>
  <si>
    <t xml:space="preserve">store part no. says "F1414HE" but the listing is the standard 1414HE test kiln, not the Freedom package</t>
  </si>
  <si>
    <t xml:space="preserve">OL146GFETLC</t>
  </si>
  <si>
    <t xml:space="preserve">Olympic Kilns - 146Gfetlc 120V Glass Fusing Kiln</t>
  </si>
  <si>
    <t xml:space="preserve">1915.00</t>
  </si>
  <si>
    <t xml:space="preserve">Kilns: Square 146GFETLC (base = KilnStar)</t>
  </si>
  <si>
    <t xml:space="preserve">OL146GFETLCFK</t>
  </si>
  <si>
    <t xml:space="preserve">Olympic Kilns 146Gfetlc Furniture Kit</t>
  </si>
  <si>
    <t xml:space="preserve">120.00</t>
  </si>
  <si>
    <t xml:space="preserve">Furniture Kits: 120 Volt Kilns — 14" Square</t>
  </si>
  <si>
    <t xml:space="preserve">OL1818</t>
  </si>
  <si>
    <t xml:space="preserve">Olympic 1818 Stackable Electric Kiln With KilnStar Controller : 2.63 C</t>
  </si>
  <si>
    <t xml:space="preserve">2349.00</t>
  </si>
  <si>
    <t xml:space="preserve">Kilns: 1818E (base = KilnStar)</t>
  </si>
  <si>
    <t xml:space="preserve">OL1818H</t>
  </si>
  <si>
    <t xml:space="preserve">Olympic 1818H Stackable Electric Kiln With 12 Key Controller</t>
  </si>
  <si>
    <t xml:space="preserve">2437.00</t>
  </si>
  <si>
    <t xml:space="preserve">Kilns: 1818HE (base = KilnStar)</t>
  </si>
  <si>
    <t xml:space="preserve">OL1823</t>
  </si>
  <si>
    <t xml:space="preserve">Olympic 1823 Stackable Electric Kiln With 12 key Controller Cone 8</t>
  </si>
  <si>
    <t xml:space="preserve">2599.00</t>
  </si>
  <si>
    <t xml:space="preserve">Kilns: 1823E (base = KilnStar)</t>
  </si>
  <si>
    <t xml:space="preserve">OL1823ERAKU</t>
  </si>
  <si>
    <t xml:space="preserve">Olympic 1823 Electric Raku Kiln With 12 key Controller</t>
  </si>
  <si>
    <t xml:space="preserve">2999.00</t>
  </si>
  <si>
    <t xml:space="preserve">Kilns: 1823 Raku E (base = KilnStar)</t>
  </si>
  <si>
    <t xml:space="preserve">OL1823H</t>
  </si>
  <si>
    <t xml:space="preserve">Olympic 1823H Stackable Electric Kiln With KilnStar Controller : 3.29 </t>
  </si>
  <si>
    <t xml:space="preserve">2679.00</t>
  </si>
  <si>
    <t xml:space="preserve">Kilns: 1823HE (base = KilnStar)</t>
  </si>
  <si>
    <t xml:space="preserve">OL1827</t>
  </si>
  <si>
    <t xml:space="preserve">Olympic 1827 Stackable Electric Kiln</t>
  </si>
  <si>
    <t xml:space="preserve">2785.00</t>
  </si>
  <si>
    <t xml:space="preserve">Kilns: 1827E (base = KilnStar)</t>
  </si>
  <si>
    <t xml:space="preserve">OL1827G</t>
  </si>
  <si>
    <t xml:space="preserve">Olympic 1827-Torch Bearer Kiln / Natural Gas Or Propane With Burners A</t>
  </si>
  <si>
    <t xml:space="preserve">2419.00</t>
  </si>
  <si>
    <t xml:space="preserve">Kilns: 1827G (base = Burners w/ Ignition System)</t>
  </si>
  <si>
    <t xml:space="preserve">OL1827H</t>
  </si>
  <si>
    <t xml:space="preserve">Olympic 1827H Stackable Electric Kiln 3.95 Cu. Ft: Cone 10</t>
  </si>
  <si>
    <t xml:space="preserve">2899.00</t>
  </si>
  <si>
    <t xml:space="preserve">Kilns: 1827HE (base = KilnStar)</t>
  </si>
  <si>
    <t xml:space="preserve">OL186GFETLC</t>
  </si>
  <si>
    <t xml:space="preserve">Olympic Kilns 186GFETLC Kiln</t>
  </si>
  <si>
    <t xml:space="preserve">2629.00</t>
  </si>
  <si>
    <t xml:space="preserve">Kilns: Square 186GFETLC (base = KilnStar)</t>
  </si>
  <si>
    <t xml:space="preserve">OL18RAKU</t>
  </si>
  <si>
    <t xml:space="preserve">Olympic 18" Raku Kiln /Natural Gas Or Propane With Burners And Ignitio</t>
  </si>
  <si>
    <t xml:space="preserve">2769.00</t>
  </si>
  <si>
    <t xml:space="preserve">Kilns: 18 Raku (base = Burners w/ Ignition System)</t>
  </si>
  <si>
    <t xml:space="preserve">OL2318</t>
  </si>
  <si>
    <t xml:space="preserve">Olympic 2318 Stackable Electric Digital Kiln 4.7 Cu. Ft: Cone 8</t>
  </si>
  <si>
    <t xml:space="preserve">3219.00</t>
  </si>
  <si>
    <t xml:space="preserve">Kilns: 2318E (base = KilnStar)</t>
  </si>
  <si>
    <t xml:space="preserve">OL2318H</t>
  </si>
  <si>
    <t xml:space="preserve">Olympic 2318H Stackable Electric Kiln With KilnStar Controller : 4.7 C</t>
  </si>
  <si>
    <t xml:space="preserve">3249.00</t>
  </si>
  <si>
    <t xml:space="preserve">Kilns: 2318HE (base = KilnStar)</t>
  </si>
  <si>
    <t xml:space="preserve">OL2323</t>
  </si>
  <si>
    <t xml:space="preserve">Olympic 2323 Stackable Digital Electric Kiln 5.83 Cu. Ft: Cone 4</t>
  </si>
  <si>
    <t xml:space="preserve">3260.00</t>
  </si>
  <si>
    <t xml:space="preserve">no 2323E in the 2026 list (the 23" block runs 2318E, 2318HE, 2323HE, 2327E, 2327HE, 2331HE)</t>
  </si>
  <si>
    <t xml:space="preserve">OL2323H</t>
  </si>
  <si>
    <t xml:space="preserve">Olympic 2323H Stackable Electric Kiln With KilnStar Controller : 5.83 </t>
  </si>
  <si>
    <t xml:space="preserve">3689.00</t>
  </si>
  <si>
    <t xml:space="preserve">Kilns: 2323HE (base = KilnStar)</t>
  </si>
  <si>
    <t xml:space="preserve">OL2327</t>
  </si>
  <si>
    <t xml:space="preserve">Olympic 2327 Stackable Electric Kiln With KilnStar Controller : 7 Cu. </t>
  </si>
  <si>
    <t xml:space="preserve">3759.00</t>
  </si>
  <si>
    <t xml:space="preserve">Kilns: 2327E (base = KilnStar)</t>
  </si>
  <si>
    <t xml:space="preserve">OL2327G</t>
  </si>
  <si>
    <t xml:space="preserve">2327-Olympic Torch Bearer Kiln /Natural Gas Or Propane With Burners An</t>
  </si>
  <si>
    <t xml:space="preserve">3169.00</t>
  </si>
  <si>
    <t xml:space="preserve">Kilns: 2327G (base = Burners w/ Ignition System)</t>
  </si>
  <si>
    <t xml:space="preserve">OL2327H</t>
  </si>
  <si>
    <t xml:space="preserve">Olympic 2327H Stackable Electric Kiln 7 Cu. Ft Cone 10</t>
  </si>
  <si>
    <t xml:space="preserve">3969.00</t>
  </si>
  <si>
    <t xml:space="preserve">Kilns: 2327HE (base = KilnStar)</t>
  </si>
  <si>
    <t xml:space="preserve">OL2331G</t>
  </si>
  <si>
    <t xml:space="preserve">2331-Olympic Torch Bearer Kiln /Natural Gas Or Propane With Burners An</t>
  </si>
  <si>
    <t xml:space="preserve">3399.00</t>
  </si>
  <si>
    <t xml:space="preserve">Kilns: 2331G (base = Burners w/ Ignition System)</t>
  </si>
  <si>
    <t xml:space="preserve">OL2331H</t>
  </si>
  <si>
    <t xml:space="preserve">Olympic 2331H Stackable Electric Kiln With KilnStar Controller : 8.17 </t>
  </si>
  <si>
    <t xml:space="preserve">4199.00</t>
  </si>
  <si>
    <t xml:space="preserve">Kilns: 2331HE (base = KilnStar)</t>
  </si>
  <si>
    <t xml:space="preserve">OL23RAKU</t>
  </si>
  <si>
    <t xml:space="preserve">Olympic 23" Raku Kiln /Natural Gas Or Propane With Burners And Ignitio</t>
  </si>
  <si>
    <t xml:space="preserve">3859.00</t>
  </si>
  <si>
    <t xml:space="preserve">Kilns: 23 Raku (base = Burners w/ Ignition System)</t>
  </si>
  <si>
    <t xml:space="preserve">OL2818H</t>
  </si>
  <si>
    <t xml:space="preserve">Olympic 2818H Stackable Electric Kiln With KilnStar Controller : 6.67 </t>
  </si>
  <si>
    <t xml:space="preserve">3949.00</t>
  </si>
  <si>
    <t xml:space="preserve">Kilns: 2818HE (base = KilnStar)</t>
  </si>
  <si>
    <t xml:space="preserve">OL2823H</t>
  </si>
  <si>
    <t xml:space="preserve">Olympic 2823H Stackable Electric Kiln With KilnStar Controller : 8.34 </t>
  </si>
  <si>
    <t xml:space="preserve">4239.00</t>
  </si>
  <si>
    <t xml:space="preserve">Kilns: 2823HE (base = KilnStar)</t>
  </si>
  <si>
    <t xml:space="preserve">OL2827G</t>
  </si>
  <si>
    <t xml:space="preserve">2827-Olympic Torch Bearer Kiln / Natural Gas Or Propane With Burners A</t>
  </si>
  <si>
    <t xml:space="preserve">4129.00</t>
  </si>
  <si>
    <t xml:space="preserve">Kilns: 2827G (base = Burners w/ Ignition System)</t>
  </si>
  <si>
    <t xml:space="preserve">OL2827H</t>
  </si>
  <si>
    <t xml:space="preserve">Olympic 2827H Stackable Digital Electric Kiln 10 Cu. Ft: Cone 10</t>
  </si>
  <si>
    <t xml:space="preserve">4629.00</t>
  </si>
  <si>
    <t xml:space="preserve">Kilns: 2827HE (base = KilnStar)</t>
  </si>
  <si>
    <t xml:space="preserve">OL2831G</t>
  </si>
  <si>
    <t xml:space="preserve">2831-Olympic Torch Bearer Kiln Natural Gas or Propane</t>
  </si>
  <si>
    <t xml:space="preserve">4399.00</t>
  </si>
  <si>
    <t xml:space="preserve">Kilns: 2831G (base = Burners w/ Ignition System)</t>
  </si>
  <si>
    <t xml:space="preserve">OL2831H</t>
  </si>
  <si>
    <t xml:space="preserve">Olympic 2831H Digital Stackable Electric Kiln 11.67 Cu. Ft: Cone 10</t>
  </si>
  <si>
    <t xml:space="preserve">5079.00</t>
  </si>
  <si>
    <t xml:space="preserve">Kilns: 2831HE (base = KilnStar)</t>
  </si>
  <si>
    <t xml:space="preserve">OL28RAKU</t>
  </si>
  <si>
    <t xml:space="preserve">Olympic 28" Raku Kiln / Natural Gas Or Propane With Burners And Igniti</t>
  </si>
  <si>
    <t xml:space="preserve">4879.00</t>
  </si>
  <si>
    <t xml:space="preserve">Kilns: 28 Raku (base = Burners w/ Ignition System)</t>
  </si>
  <si>
    <t xml:space="preserve">OLCHAMP</t>
  </si>
  <si>
    <t xml:space="preserve">Olympic Champ Glass Kiln</t>
  </si>
  <si>
    <t xml:space="preserve">1299.00</t>
  </si>
  <si>
    <t xml:space="preserve">Kilns: Champ (base = KilnStar)</t>
  </si>
  <si>
    <t xml:space="preserve">OLCHAMPXL</t>
  </si>
  <si>
    <t xml:space="preserve">Olympic Champ Xl Glass Kiln</t>
  </si>
  <si>
    <t xml:space="preserve">1389.00</t>
  </si>
  <si>
    <t xml:space="preserve">Kilns: Champ XL (base = KilnStar)</t>
  </si>
  <si>
    <t xml:space="preserve">OLDD12</t>
  </si>
  <si>
    <t xml:space="preserve">Olympic Kilns DD12 Downdraft Kiln Gas Or Propane</t>
  </si>
  <si>
    <t xml:space="preserve">11130.00</t>
  </si>
  <si>
    <t xml:space="preserve">Kilns: DD12 (base = Burners w/ Ignition System)</t>
  </si>
  <si>
    <t xml:space="preserve">OLDD14</t>
  </si>
  <si>
    <t xml:space="preserve">Olympic Kiln DD14 - Downdraft Kiln Gas Or Propane</t>
  </si>
  <si>
    <t xml:space="preserve">13030.00</t>
  </si>
  <si>
    <t xml:space="preserve">Kilns: DD14 (base = Burners w/ Ignition System)</t>
  </si>
  <si>
    <t xml:space="preserve">OLDD17</t>
  </si>
  <si>
    <t xml:space="preserve">Olympic Kiln DD17 - Downdraft Kiln Gas Or Propane</t>
  </si>
  <si>
    <t xml:space="preserve">14905.00</t>
  </si>
  <si>
    <t xml:space="preserve">Kilns: DD17 (base = Burners w/ Ignition System)</t>
  </si>
  <si>
    <t xml:space="preserve">OLDD20</t>
  </si>
  <si>
    <t xml:space="preserve">Olympic Kiln DD20 - Downdraft Kiln Gas Or Propane</t>
  </si>
  <si>
    <t xml:space="preserve">17820.00</t>
  </si>
  <si>
    <t xml:space="preserve">Kilns: DD20 (base = Burners w/ Ignition System)</t>
  </si>
  <si>
    <t xml:space="preserve">OLDD24</t>
  </si>
  <si>
    <t xml:space="preserve">Olympic Kilns DD24 - Downdraft Kiln Gas Or Propane</t>
  </si>
  <si>
    <t xml:space="preserve">20500.00</t>
  </si>
  <si>
    <t xml:space="preserve">Kilns: DD24 (base = Burners w/ Ignition System)</t>
  </si>
  <si>
    <t xml:space="preserve">OLDD30</t>
  </si>
  <si>
    <t xml:space="preserve">Olympic Kilns DD30 - Downdraft Kiln Gas Or Propane</t>
  </si>
  <si>
    <t xml:space="preserve">22990.00</t>
  </si>
  <si>
    <t xml:space="preserve">Kilns: DD30 (base = Burners w/ Ignition System)</t>
  </si>
  <si>
    <t xml:space="preserve">OLDD40</t>
  </si>
  <si>
    <t xml:space="preserve">Olympic Kilns DD40-Downdraft Kiln Gas Or Propane</t>
  </si>
  <si>
    <t xml:space="preserve">28130.00</t>
  </si>
  <si>
    <t xml:space="preserve">Kilns: DD40 (base = Burners w/ Ignition System)</t>
  </si>
  <si>
    <t xml:space="preserve">OLDD9</t>
  </si>
  <si>
    <t xml:space="preserve">Olympic Kilns DD9-Downdraft Kiln Gas Or Propane</t>
  </si>
  <si>
    <t xml:space="preserve">10650.00</t>
  </si>
  <si>
    <t xml:space="preserve">Kilns: DD9 (base = Burners w/ Ignition System)</t>
  </si>
  <si>
    <t xml:space="preserve">OLDDBB</t>
  </si>
  <si>
    <t xml:space="preserve">Blower Burner For Olympic Downdraft Kilns</t>
  </si>
  <si>
    <t xml:space="preserve">1727.00</t>
  </si>
  <si>
    <t xml:space="preserve">Accessories: Blower Burner 200k (per burner) (Alternative firing method for DD model)</t>
  </si>
  <si>
    <t xml:space="preserve">stand-alone burner version is $1,700</t>
  </si>
  <si>
    <t xml:space="preserve">OLDDDP10</t>
  </si>
  <si>
    <t xml:space="preserve">Digital Pyrometer For Olympic Gas Kilns - w/10" Thermocouple</t>
  </si>
  <si>
    <t xml:space="preserve">290.00</t>
  </si>
  <si>
    <t xml:space="preserve">Accessories: Pyrometer Digital (Large Capacity Kilns with Type K Therm)</t>
  </si>
  <si>
    <t xml:space="preserve">OLDDEC</t>
  </si>
  <si>
    <t xml:space="preserve">120V/20A Electronic High Limit Shut Off Including Valve For Olympic Ga</t>
  </si>
  <si>
    <t xml:space="preserve">1452.00</t>
  </si>
  <si>
    <t xml:space="preserve">Accessories: High Limit Controller</t>
  </si>
  <si>
    <t xml:space="preserve">listing is the 120V/20A electronic high-limit shut-off with valve; the list has one High Limit Controller price</t>
  </si>
  <si>
    <t xml:space="preserve">OLDDGH</t>
  </si>
  <si>
    <t xml:space="preserve">Galvanized Steel Hood For Olympic Downdraft Kilns</t>
  </si>
  <si>
    <t xml:space="preserve">1865.00</t>
  </si>
  <si>
    <t xml:space="preserve">Accessories: Vent Hood - DownDraft Kilns (Galvanized Steel GAS Vent Hood - 48" x)</t>
  </si>
  <si>
    <t xml:space="preserve">OLDDSH</t>
  </si>
  <si>
    <t xml:space="preserve">Stainless Steel Hood For Olympic Downdraft Kilns</t>
  </si>
  <si>
    <t xml:space="preserve">2100.00</t>
  </si>
  <si>
    <t xml:space="preserve">Accessories: Vent Hood - DownDraft Kilns (Stainless Steel GAS Vent Hood - 48" x )</t>
  </si>
  <si>
    <t xml:space="preserve">OLDM1818HE</t>
  </si>
  <si>
    <t xml:space="preserve">Olympic Dual Media Kiln 1818He: 2.63 Cu. Ft. : Cone 10 With Rtc-1000 D</t>
  </si>
  <si>
    <t xml:space="preserve">2799.00</t>
  </si>
  <si>
    <t xml:space="preserve">Kilns: DM1818HE (base = KilnStar)</t>
  </si>
  <si>
    <t xml:space="preserve">OLDM1823HE</t>
  </si>
  <si>
    <t xml:space="preserve">Olympic Dual Media Kiln 1823HE: 3.29 Cu. Ft. : Cone 10</t>
  </si>
  <si>
    <t xml:space="preserve">3099.00</t>
  </si>
  <si>
    <t xml:space="preserve">Kilns: DM1823HE (base = KilnStar)</t>
  </si>
  <si>
    <t xml:space="preserve">OLDM2318HE</t>
  </si>
  <si>
    <t xml:space="preserve">Olympic Dual Media Kiln 2318He: 4.7 Cu. Ft. : Cone 10 With Rtc-1000 Di</t>
  </si>
  <si>
    <t xml:space="preserve">3649.00</t>
  </si>
  <si>
    <t xml:space="preserve">Kilns: DM2318HE (base = KilnStar)</t>
  </si>
  <si>
    <t xml:space="preserve">OLDM2323HE</t>
  </si>
  <si>
    <t xml:space="preserve">Olympic Dual Media Kiln 2323He: 5.83 Cu. Ft. : Cone 10 With Rtc-1000 D</t>
  </si>
  <si>
    <t xml:space="preserve">4079.00</t>
  </si>
  <si>
    <t xml:space="preserve">Kilns: DM2323HE (base = KilnStar)</t>
  </si>
  <si>
    <t xml:space="preserve">OLDM2327HE</t>
  </si>
  <si>
    <t xml:space="preserve">Olympic Dual Media Kiln 2327He: 7 Cu. Ft. Cone 10 Digital</t>
  </si>
  <si>
    <t xml:space="preserve">4299.00</t>
  </si>
  <si>
    <t xml:space="preserve">Kilns: DM2327HE (base = KilnStar)</t>
  </si>
  <si>
    <t xml:space="preserve">OLDM2523HE</t>
  </si>
  <si>
    <t xml:space="preserve">Olympic Dual Media Kiln 2523He Oval: 10 Cu. Ft. : Cone 10 With Rtc-100</t>
  </si>
  <si>
    <t xml:space="preserve">5435.00</t>
  </si>
  <si>
    <t xml:space="preserve">Kilns: DM2523HE (base = KilnStar)</t>
  </si>
  <si>
    <t xml:space="preserve">OLDM2818HE</t>
  </si>
  <si>
    <t xml:space="preserve">Olympic Dual Media Kiln 2818He: 6.67 Cu. Ft. : Cone 10 With Rtc-1000 D</t>
  </si>
  <si>
    <t xml:space="preserve">4349.00</t>
  </si>
  <si>
    <t xml:space="preserve">Kilns: DM2818HE (base = KilnStar)</t>
  </si>
  <si>
    <t xml:space="preserve">OLDM2823HE</t>
  </si>
  <si>
    <t xml:space="preserve">Olympic Dual Media Kiln 2823He: 8.34 Cu. Ft. : Cone 10 With Rtc-1000 D</t>
  </si>
  <si>
    <t xml:space="preserve">4749.00</t>
  </si>
  <si>
    <t xml:space="preserve">Kilns: DM2823HE (base = KilnStar)</t>
  </si>
  <si>
    <t xml:space="preserve">OLDM2827HE</t>
  </si>
  <si>
    <t xml:space="preserve">Olympic Dual Media Kiln 2827He: 10 Cu. Ft. : Cone 10 With Rtc-1000 Dig</t>
  </si>
  <si>
    <t xml:space="preserve">5019.00</t>
  </si>
  <si>
    <t xml:space="preserve">Kilns: DM2827HE (base = KilnStar)</t>
  </si>
  <si>
    <t xml:space="preserve">OLDM3018HE</t>
  </si>
  <si>
    <t xml:space="preserve">Olympic Dual Media Kiln 3018HE</t>
  </si>
  <si>
    <t xml:space="preserve">5849.00</t>
  </si>
  <si>
    <t xml:space="preserve">Kilns: DM3018HE (base = KilnStar)</t>
  </si>
  <si>
    <t xml:space="preserve">OLDM3023HE</t>
  </si>
  <si>
    <t xml:space="preserve">Olympic Dual Media Kiln 3023He Oval: 14.9 Cu. Ft. : Cone 10 With Rtc-1</t>
  </si>
  <si>
    <t xml:space="preserve">6279.00</t>
  </si>
  <si>
    <t xml:space="preserve">Kilns: DM3023HE (base = KilnStar)</t>
  </si>
  <si>
    <t xml:space="preserve">OLDP</t>
  </si>
  <si>
    <t xml:space="preserve">Olympic Digital Pyrometer with two 6" Type K thermocouples</t>
  </si>
  <si>
    <t xml:space="preserve">OLF1414HE</t>
  </si>
  <si>
    <t xml:space="preserve">Olympic Freedom 1414He Kiln Package: Cone 10, Electronic Control With </t>
  </si>
  <si>
    <t xml:space="preserve">2695.00</t>
  </si>
  <si>
    <t xml:space="preserve">Kilns: F1414HE Pkg. (base = KilnStar)</t>
  </si>
  <si>
    <t xml:space="preserve">OLF1823HE</t>
  </si>
  <si>
    <t xml:space="preserve">Olympic Freedom 1823He Kiln Package: Cone 10 Package</t>
  </si>
  <si>
    <t xml:space="preserve">Kilns: F1823HE Pkg. (base = KilnStar)</t>
  </si>
  <si>
    <t xml:space="preserve">OLF2323HE</t>
  </si>
  <si>
    <t xml:space="preserve">Olympic Freedom 2323He Kiln Package With Vent, Furniture Kit And More</t>
  </si>
  <si>
    <t xml:space="preserve">4519.00</t>
  </si>
  <si>
    <t xml:space="preserve">Kilns: F2323HE Pkg. (base = KilnStar)</t>
  </si>
  <si>
    <t xml:space="preserve">OLF2327HE</t>
  </si>
  <si>
    <t xml:space="preserve">Olympic Freedom 2327He Kiln Package: With Vent, Furniture Kit And More</t>
  </si>
  <si>
    <t xml:space="preserve">5279.00</t>
  </si>
  <si>
    <t xml:space="preserve">Kilns: F2327HE Pkg. (base = KilnStar)</t>
  </si>
  <si>
    <t xml:space="preserve">OLF2527HE</t>
  </si>
  <si>
    <t xml:space="preserve">Olympic Freedom 2527He Kiln Package: with Vent, Furniture Kit and More</t>
  </si>
  <si>
    <t xml:space="preserve">6199.00</t>
  </si>
  <si>
    <t xml:space="preserve">Kilns: F2527HE Pkg. (base = KilnStar)</t>
  </si>
  <si>
    <t xml:space="preserve">OLF2823HE</t>
  </si>
  <si>
    <t xml:space="preserve">Olympic Freedom 2823He Kiln Package: with Vent, Furniture Kit and More</t>
  </si>
  <si>
    <t xml:space="preserve">5660.00</t>
  </si>
  <si>
    <t xml:space="preserve">Kilns: F2823HE Pkg. (base = KilnStar)</t>
  </si>
  <si>
    <t xml:space="preserve">OLF2827HE</t>
  </si>
  <si>
    <t xml:space="preserve">Olympic Freedom 2827HE Kiln Package: Cone 10, Electronic Control With </t>
  </si>
  <si>
    <t xml:space="preserve">6119.00</t>
  </si>
  <si>
    <t xml:space="preserve">Kilns: F2827HE Pkg. (base = KilnStar)</t>
  </si>
  <si>
    <t xml:space="preserve">OLFL12</t>
  </si>
  <si>
    <t xml:space="preserve">Olympic FL-12 Front Loading Kiln</t>
  </si>
  <si>
    <t xml:space="preserve">9199.00</t>
  </si>
  <si>
    <t xml:space="preserve">Kilns: FL12E (base = KilnStar)</t>
  </si>
  <si>
    <t xml:space="preserve">OLFL17</t>
  </si>
  <si>
    <t xml:space="preserve">Olympic FL-17 Front Loading Kiln</t>
  </si>
  <si>
    <t xml:space="preserve">11499.00</t>
  </si>
  <si>
    <t xml:space="preserve">Kilns: FL17E (base = KilnStar)</t>
  </si>
  <si>
    <t xml:space="preserve">OLFL20</t>
  </si>
  <si>
    <t xml:space="preserve">Olympic FL-20 Front Loading Kiln</t>
  </si>
  <si>
    <t xml:space="preserve">12699.00</t>
  </si>
  <si>
    <t xml:space="preserve">Kilns: FL20E (base = KilnStar)</t>
  </si>
  <si>
    <t xml:space="preserve">OLFL24</t>
  </si>
  <si>
    <t xml:space="preserve">Olympic FL-24 Front Loading Kiln</t>
  </si>
  <si>
    <t xml:space="preserve">14899.00</t>
  </si>
  <si>
    <t xml:space="preserve">Kilns: FL24E (base = KilnStar)</t>
  </si>
  <si>
    <t xml:space="preserve">OLFL27</t>
  </si>
  <si>
    <t xml:space="preserve">Olympic FL-27 Front Loading Kiln</t>
  </si>
  <si>
    <t xml:space="preserve">16999.00</t>
  </si>
  <si>
    <t xml:space="preserve">Kilns: FL27E (base = KilnStar)</t>
  </si>
  <si>
    <t xml:space="preserve">OLFL31</t>
  </si>
  <si>
    <t xml:space="preserve">Olympic FL-31 Front Loading Kiln</t>
  </si>
  <si>
    <t xml:space="preserve">19099.00</t>
  </si>
  <si>
    <t xml:space="preserve">Kilns: FL31E (base = KilnStar)</t>
  </si>
  <si>
    <t xml:space="preserve">OLFL53</t>
  </si>
  <si>
    <t xml:space="preserve">Olympic FL-53 Front Loading Kiln</t>
  </si>
  <si>
    <t xml:space="preserve">26899.00</t>
  </si>
  <si>
    <t xml:space="preserve">Kilns: FL53E (base = KilnStar)</t>
  </si>
  <si>
    <t xml:space="preserve">OLFL55</t>
  </si>
  <si>
    <t xml:space="preserve">Olympic FL-5.5 Front Loading Kiln</t>
  </si>
  <si>
    <t xml:space="preserve">7059.00</t>
  </si>
  <si>
    <t xml:space="preserve">Kilns: FL5.5E (base = KilnStar)</t>
  </si>
  <si>
    <t xml:space="preserve">listing reads "FL-5"; matched to FL5.5E</t>
  </si>
  <si>
    <t xml:space="preserve">OLFL8</t>
  </si>
  <si>
    <t xml:space="preserve">Olympic FL-8 Front Loading Kiln</t>
  </si>
  <si>
    <t xml:space="preserve">7899.00</t>
  </si>
  <si>
    <t xml:space="preserve">Kilns: FL8E (base = KilnStar)</t>
  </si>
  <si>
    <t xml:space="preserve">OLGF2ETLC</t>
  </si>
  <si>
    <t xml:space="preserve">Olympic Kilns GF2ETLC Glass Fusing Kiln</t>
  </si>
  <si>
    <t xml:space="preserve">3019.00</t>
  </si>
  <si>
    <t xml:space="preserve">Kilns: GF2ETLC (base = KilnStar)</t>
  </si>
  <si>
    <t xml:space="preserve">store part no. says "OL146GFETLC"; listing text is GF2ETLC</t>
  </si>
  <si>
    <t xml:space="preserve">OLGF3ETLC</t>
  </si>
  <si>
    <t xml:space="preserve">Olympic GF3ETLC Glass Fusing Kiln</t>
  </si>
  <si>
    <t xml:space="preserve">3239.00</t>
  </si>
  <si>
    <t xml:space="preserve">Kilns: GF3ETLC (base = KilnStar)</t>
  </si>
  <si>
    <t xml:space="preserve">OLHB</t>
  </si>
  <si>
    <t xml:space="preserve">Olympic Hotbox : Cone 10, Top Loading 120 Volt Electric Kiln with Gene</t>
  </si>
  <si>
    <t xml:space="preserve">1149.00</t>
  </si>
  <si>
    <t xml:space="preserve">Kilns: HotboxE (base = Spark)</t>
  </si>
  <si>
    <t xml:space="preserve">OLHB64</t>
  </si>
  <si>
    <t xml:space="preserve">Olympic HB64 : Cone 10, Top Loading 120 Volt Electric Kiln w/3 Key</t>
  </si>
  <si>
    <t xml:space="preserve">1049.00</t>
  </si>
  <si>
    <t xml:space="preserve">Kilns: HB64E (base = Spark)</t>
  </si>
  <si>
    <t xml:space="preserve">OLHB84</t>
  </si>
  <si>
    <t xml:space="preserve">Olympic HB84 : Cone 10, Top Loading 120 Volt Electric Kiln with Genesi</t>
  </si>
  <si>
    <t xml:space="preserve">1189.00</t>
  </si>
  <si>
    <t xml:space="preserve">Kilns: HB84E (base = Spark)</t>
  </si>
  <si>
    <t xml:space="preserve">OLHB86</t>
  </si>
  <si>
    <t xml:space="preserve">Olympic HB86 : Cone 10, Top Loading 120 Volt Electric Kiln Genesis Spa</t>
  </si>
  <si>
    <t xml:space="preserve">1209.00</t>
  </si>
  <si>
    <t xml:space="preserve">Kilns: HB86E (base = KilnStar)</t>
  </si>
  <si>
    <t xml:space="preserve">OLHB86V</t>
  </si>
  <si>
    <t xml:space="preserve">Olympic HB86P Vitrigraph Kiln</t>
  </si>
  <si>
    <t xml:space="preserve">1449.00</t>
  </si>
  <si>
    <t xml:space="preserve">Kilns: HB86 Vitrigraph (base = Spark)</t>
  </si>
  <si>
    <t xml:space="preserve">OLHB89</t>
  </si>
  <si>
    <t xml:space="preserve">Olympic HB89 : Cone 10, Top Loading 120 Volt Electric Kiln with Genesi</t>
  </si>
  <si>
    <t xml:space="preserve">1329.00</t>
  </si>
  <si>
    <t xml:space="preserve">Kilns: HB89E (base = KilnStar)</t>
  </si>
  <si>
    <t xml:space="preserve">OLHBFK</t>
  </si>
  <si>
    <t xml:space="preserve">Furniture Kit For Olympic Hotbox Kiln</t>
  </si>
  <si>
    <t xml:space="preserve">82.00</t>
  </si>
  <si>
    <t xml:space="preserve">Furniture Kits: 120 Volt Kilns — HB64E, HOTBOX E</t>
  </si>
  <si>
    <t xml:space="preserve">OLHLC</t>
  </si>
  <si>
    <t xml:space="preserve">Olympic Kilns Optional High Limit Controller for Gas Kilns</t>
  </si>
  <si>
    <t xml:space="preserve">1399.00</t>
  </si>
  <si>
    <t xml:space="preserve">listing text matches the pricelist wording</t>
  </si>
  <si>
    <t xml:space="preserve">OLMAS1818HE</t>
  </si>
  <si>
    <t xml:space="preserve">Olympic Medallion Artist Series Mas1818He : 2.63 Cu. Ft Cone 10: 12Key</t>
  </si>
  <si>
    <t xml:space="preserve">2139.00</t>
  </si>
  <si>
    <t xml:space="preserve">Kilns: MAS 1818HE (base = KilnStar)</t>
  </si>
  <si>
    <t xml:space="preserve">OLMAS1823HE</t>
  </si>
  <si>
    <t xml:space="preserve">Olympic Medallion Artist Series Mas1823He : 3.29 Cu. Ft Cone 10: 12Key</t>
  </si>
  <si>
    <t xml:space="preserve">2249.00</t>
  </si>
  <si>
    <t xml:space="preserve">Kilns: MAS 1823HE (base = KilnStar)</t>
  </si>
  <si>
    <t xml:space="preserve">OLMAS2323HE</t>
  </si>
  <si>
    <t xml:space="preserve">Olympic Medallion Artist Series Mas2323He : 5.83 Cu. Ft Cone 10: 12Key</t>
  </si>
  <si>
    <t xml:space="preserve">Kilns: MAS 2323HE (base = KilnStar)</t>
  </si>
  <si>
    <t xml:space="preserve">OLMAS2327HE</t>
  </si>
  <si>
    <t xml:space="preserve">Olympic Medallion Artist Series Mas2327He : 7 Cu. Ft Cone 10: 12 Key E</t>
  </si>
  <si>
    <t xml:space="preserve">3329.00</t>
  </si>
  <si>
    <t xml:space="preserve">Kilns: MAS 2327HE (base = KilnStar)</t>
  </si>
  <si>
    <t xml:space="preserve">OLMAS2823HE</t>
  </si>
  <si>
    <t xml:space="preserve">Olympic Medallion Artist Series Mas2823He : 8.34 Cu. Ft Cone 10: 12Key</t>
  </si>
  <si>
    <t xml:space="preserve">3719.00</t>
  </si>
  <si>
    <t xml:space="preserve">Kilns: MAS 2823HE (base = KilnStar)</t>
  </si>
  <si>
    <t xml:space="preserve">store part no. says "OLMAS2323HE"; listing text is MAS 2823HE</t>
  </si>
  <si>
    <t xml:space="preserve">OLMAS2827HE</t>
  </si>
  <si>
    <t xml:space="preserve">Olympic Medallion Artist Series Mas2827He :10 Cu. Ft Cone 10: 12Key El</t>
  </si>
  <si>
    <t xml:space="preserve">3989.00</t>
  </si>
  <si>
    <t xml:space="preserve">Kilns: MAS 2827HE (base = KilnStar)</t>
  </si>
  <si>
    <t xml:space="preserve">OLO2018H</t>
  </si>
  <si>
    <t xml:space="preserve">Olympic Oval Kiln : 2018H With KilnStar Controller</t>
  </si>
  <si>
    <t xml:space="preserve">4035.00</t>
  </si>
  <si>
    <t xml:space="preserve">Kilns: 2018HE (base = KilnStar)</t>
  </si>
  <si>
    <t xml:space="preserve">OLO2023H</t>
  </si>
  <si>
    <t xml:space="preserve">Olympic Oval Kiln : 2023H With KilnStar Controller</t>
  </si>
  <si>
    <t xml:space="preserve">4689.00</t>
  </si>
  <si>
    <t xml:space="preserve">Kilns: 2023HE (base = KilnStar)</t>
  </si>
  <si>
    <t xml:space="preserve">the 2026 list price is $60 BELOW the old compare-at, unlike every other oval — worth a sanity check</t>
  </si>
  <si>
    <t xml:space="preserve">OLO2027H</t>
  </si>
  <si>
    <t xml:space="preserve">Olympic Oval Kiln : 2027H With KilnStar Controller</t>
  </si>
  <si>
    <t xml:space="preserve">4329.00</t>
  </si>
  <si>
    <t xml:space="preserve">Kilns: 2027HE (base = KilnStar)</t>
  </si>
  <si>
    <t xml:space="preserve">OLO2518H</t>
  </si>
  <si>
    <t xml:space="preserve">Olympic Oval Kiln : 2518H With KilnStar Controller</t>
  </si>
  <si>
    <t xml:space="preserve">4469.00</t>
  </si>
  <si>
    <t xml:space="preserve">Kilns: 2518HE (base = KilnStar)</t>
  </si>
  <si>
    <t xml:space="preserve">OLO2523H</t>
  </si>
  <si>
    <t xml:space="preserve">Olympic Oval Kiln : 2523H With KilnStar Controller</t>
  </si>
  <si>
    <t xml:space="preserve">4979.00</t>
  </si>
  <si>
    <t xml:space="preserve">Kilns: 2523HE (base = KilnStar)</t>
  </si>
  <si>
    <t xml:space="preserve">OLO2527H</t>
  </si>
  <si>
    <t xml:space="preserve">Olympic Oval Kiln : 2527H With KilnStar Controller</t>
  </si>
  <si>
    <t xml:space="preserve">5419.00</t>
  </si>
  <si>
    <t xml:space="preserve">Kilns: 2527HE (base = KilnStar)</t>
  </si>
  <si>
    <t xml:space="preserve">OLO2531H</t>
  </si>
  <si>
    <t xml:space="preserve">Olympic Oval Kiln : 2531H With KilnStar Controller</t>
  </si>
  <si>
    <t xml:space="preserve">5890.00</t>
  </si>
  <si>
    <t xml:space="preserve">Kilns: 2531HE (base = KilnStar)</t>
  </si>
  <si>
    <t xml:space="preserve">OLO3018H</t>
  </si>
  <si>
    <t xml:space="preserve">Olympic Oval Kiln : 3018H With KilnStar Controller</t>
  </si>
  <si>
    <t xml:space="preserve">5469.00</t>
  </si>
  <si>
    <t xml:space="preserve">Kilns: 3018HE (base = KilnStar)</t>
  </si>
  <si>
    <t xml:space="preserve">OLO3023H</t>
  </si>
  <si>
    <t xml:space="preserve">Olympic Oval Kiln : 3023H With KilnStar Controller</t>
  </si>
  <si>
    <t xml:space="preserve">5859.00</t>
  </si>
  <si>
    <t xml:space="preserve">Kilns: 3023HE (base = KilnStar)</t>
  </si>
  <si>
    <t xml:space="preserve">OLO3027H</t>
  </si>
  <si>
    <t xml:space="preserve">Olympic Oval Kiln : 3027H With KilnStar Electronic Controller</t>
  </si>
  <si>
    <t xml:space="preserve">6439.00</t>
  </si>
  <si>
    <t xml:space="preserve">Kilns: 3027HE (base = KilnStar)</t>
  </si>
  <si>
    <t xml:space="preserve">OLO3031H</t>
  </si>
  <si>
    <t xml:space="preserve">Olympic Oval Kiln : 3031H With KilnStar Controller</t>
  </si>
  <si>
    <t xml:space="preserve">6915.00</t>
  </si>
  <si>
    <t xml:space="preserve">Kilns: 3031HE (base = KilnStar)</t>
  </si>
  <si>
    <t xml:space="preserve">OLODT</t>
  </si>
  <si>
    <t xml:space="preserve">Olympic Doll /Test Mini Oval Kiln: Cone 10, Top Loading 120 Volt Elect</t>
  </si>
  <si>
    <t xml:space="preserve">1419.00</t>
  </si>
  <si>
    <t xml:space="preserve">Kilns: Doll/Test (base = KilnStar)</t>
  </si>
  <si>
    <t xml:space="preserve">OLPEEP</t>
  </si>
  <si>
    <t xml:space="preserve">Olympic Peephole Plug</t>
  </si>
  <si>
    <t xml:space="preserve">17.00</t>
  </si>
  <si>
    <t xml:space="preserve">Accessories: Observation Plugs</t>
  </si>
  <si>
    <t xml:space="preserve">OLTL20E</t>
  </si>
  <si>
    <t xml:space="preserve">Olympic Top Loading Commercial Electric Kiln TL20 With V6-CF Controlle</t>
  </si>
  <si>
    <t xml:space="preserve">9529.00</t>
  </si>
  <si>
    <t xml:space="preserve">Kilns: TL20E (base = KilnStar)</t>
  </si>
  <si>
    <t xml:space="preserve">OLTL5432E</t>
  </si>
  <si>
    <t xml:space="preserve">Olympic Top Loading Commercial Electric Kiln TL5432E</t>
  </si>
  <si>
    <t xml:space="preserve">17599.00</t>
  </si>
  <si>
    <t xml:space="preserve">Kilns: TL5432E (base = KilnStar)</t>
  </si>
  <si>
    <t xml:space="preserve">store part no. says "OLTL20E"; listing text is TL5432</t>
  </si>
  <si>
    <t xml:space="preserve">OLTRAV</t>
  </si>
  <si>
    <t xml:space="preserve">Olympic Traveler Kiln: Glass And Ceramic Combo With 3 Key Electronic C</t>
  </si>
  <si>
    <t xml:space="preserve">1789.00</t>
  </si>
  <si>
    <t xml:space="preserve">Kilns: Traveler (base = KilnStar)</t>
  </si>
  <si>
    <t xml:space="preserve">SPIFL12</t>
  </si>
  <si>
    <t xml:space="preserve">Olympic FL12 Complete Front Loading Kiln Package</t>
  </si>
  <si>
    <t xml:space="preserve">12376.00</t>
  </si>
  <si>
    <t xml:space="preserve">Sheffield kiln package (kiln + vent + shelf kit) — not a single pricelist item</t>
  </si>
  <si>
    <t xml:space="preserve">SPIFL17</t>
  </si>
  <si>
    <t xml:space="preserve">Olympic FL17 Complete Front Loading Kiln Package</t>
  </si>
  <si>
    <t xml:space="preserve">14742.00</t>
  </si>
  <si>
    <t xml:space="preserve">SPIFL20</t>
  </si>
  <si>
    <t xml:space="preserve">Olympic FL20 Complete Front Loading Kiln Package</t>
  </si>
  <si>
    <t xml:space="preserve">16522.00</t>
  </si>
  <si>
    <t xml:space="preserve">SPIFL24</t>
  </si>
  <si>
    <t xml:space="preserve">Olympic FL24 Complete Front Loading Kiln Package</t>
  </si>
  <si>
    <t xml:space="preserve">18207.00</t>
  </si>
  <si>
    <t xml:space="preserve">SPIFL27</t>
  </si>
  <si>
    <t xml:space="preserve">Olympic FL27 Complete Front Loading Kiln Package</t>
  </si>
  <si>
    <t xml:space="preserve">21742.00</t>
  </si>
  <si>
    <t xml:space="preserve">SPIFL31</t>
  </si>
  <si>
    <t xml:space="preserve">Olympic FL31 Complete Front Loading Kiln Package</t>
  </si>
  <si>
    <t xml:space="preserve">24507.00</t>
  </si>
  <si>
    <t xml:space="preserve">SPIFL53</t>
  </si>
  <si>
    <t xml:space="preserve">Olympic FL53 Complete Front Loading Kiln Package</t>
  </si>
  <si>
    <t xml:space="preserve">35245.00</t>
  </si>
  <si>
    <t xml:space="preserve">SPIFL8</t>
  </si>
  <si>
    <t xml:space="preserve">Olympic FL8 Complete Front Loading Kiln Package</t>
  </si>
  <si>
    <t xml:space="preserve">10959.00</t>
  </si>
  <si>
    <t xml:space="preserve">OLFL42</t>
  </si>
  <si>
    <t xml:space="preserve">Olympic FL-42 Front Loading Kiln</t>
  </si>
  <si>
    <t xml:space="preserve">25199.00</t>
  </si>
  <si>
    <t xml:space="preserve">Kilns: FL42E (base = KilnStar)</t>
  </si>
  <si>
    <t xml:space="preserve">OLSTYPE</t>
  </si>
  <si>
    <t xml:space="preserve">Olympic S-type Thermocouple Upgrade</t>
  </si>
  <si>
    <t xml:space="preserve">599.00</t>
  </si>
  <si>
    <t xml:space="preserve">Accessories: Type S Thermocouple (5" long for Studio Kilns)</t>
  </si>
  <si>
    <t xml:space="preserve">OLTL20FK</t>
  </si>
  <si>
    <t xml:space="preserve">Olympic TL20 Furniture Kit</t>
  </si>
  <si>
    <t xml:space="preserve">1188.75</t>
  </si>
  <si>
    <t xml:space="preserve">Furniture Kits: Large Capacity Kilns — TL20E</t>
  </si>
  <si>
    <t xml:space="preserve">OLHB89SHELF</t>
  </si>
  <si>
    <t xml:space="preserve">Olympic HB89 Extra Shelf</t>
  </si>
  <si>
    <t xml:space="preserve">26.00</t>
  </si>
  <si>
    <t xml:space="preserve">Kiln Shelves: HB84,HB86, HB89 Shelf</t>
  </si>
  <si>
    <t xml:space="preserve">OLK3K</t>
  </si>
  <si>
    <t xml:space="preserve">Olympic Electro-Sitter : 3 Key Base Model</t>
  </si>
  <si>
    <t xml:space="preserve">855.00</t>
  </si>
  <si>
    <t xml:space="preserve">"3 Key Base Model" — the 2026 list only has KilnStar ($1,250) and Genesis ($1,450)</t>
  </si>
  <si>
    <t xml:space="preserve">OL18RAFK</t>
  </si>
  <si>
    <t xml:space="preserve">18 Raku Furniture Kit</t>
  </si>
  <si>
    <t xml:space="preserve">326.25</t>
  </si>
  <si>
    <t xml:space="preserve">Furniture Kits: UpDraft Gas Kilns (Raku &amp; Torchbearer) — 18 Raku</t>
  </si>
  <si>
    <t xml:space="preserve">OL23RAFK</t>
  </si>
  <si>
    <t xml:space="preserve">23 Raku Furniture Kit</t>
  </si>
  <si>
    <t xml:space="preserve">577.50</t>
  </si>
  <si>
    <t xml:space="preserve">Furniture Kits: UpDraft Gas Kilns (Raku &amp; Torchbearer) — 23 Raku</t>
  </si>
  <si>
    <t xml:space="preserve">OL28RAFK</t>
  </si>
  <si>
    <t xml:space="preserve">28 Raku Furniture Kit</t>
  </si>
  <si>
    <t xml:space="preserve">645.00</t>
  </si>
  <si>
    <t xml:space="preserve">Furniture Kits: UpDraft Gas Kilns (Raku &amp; Torchbearer) — 28 Raku</t>
  </si>
  <si>
    <t xml:space="preserve">OL1823EFK</t>
  </si>
  <si>
    <t xml:space="preserve">Furniture Kit for OL1823ERAKU</t>
  </si>
  <si>
    <t xml:space="preserve">210.00</t>
  </si>
  <si>
    <t xml:space="preserve">Furniture Kits: Electric Raku &amp; TopHat Kilns — 1823 E Raku &amp; TopHat 189E</t>
  </si>
  <si>
    <t xml:space="preserve">OL1214ERAFK</t>
  </si>
  <si>
    <t xml:space="preserve">Furniture Kit for OL1214ERAKU</t>
  </si>
  <si>
    <t xml:space="preserve">183.75</t>
  </si>
  <si>
    <t xml:space="preserve">Furniture Kits: Electric Raku &amp; TopHat Kilns — 1214 Raku E</t>
  </si>
  <si>
    <t xml:space="preserve">OL1827GFK</t>
  </si>
  <si>
    <t xml:space="preserve">1827 TorcHBearer Furniture Kit</t>
  </si>
  <si>
    <t xml:space="preserve">217.50</t>
  </si>
  <si>
    <t xml:space="preserve">Furniture Kits: UpDraft Gas Kilns (Raku &amp; Torchbearer) — 18 Torchbearer</t>
  </si>
  <si>
    <t xml:space="preserve">OLDD12FK</t>
  </si>
  <si>
    <t xml:space="preserve">Olympic DD12 Furniture Kit</t>
  </si>
  <si>
    <t xml:space="preserve">821.25</t>
  </si>
  <si>
    <t xml:space="preserve">Furniture Kits: DownDraft (DD) Gas Kilns — DD12</t>
  </si>
  <si>
    <t xml:space="preserve">OLDD9FK</t>
  </si>
  <si>
    <t xml:space="preserve">Olympic DD9 Furniture Kit</t>
  </si>
  <si>
    <t xml:space="preserve">915.00</t>
  </si>
  <si>
    <t xml:space="preserve">Furniture Kits: DownDraft (DD) Gas Kilns — DD9</t>
  </si>
  <si>
    <t xml:space="preserve">OLDD14FK</t>
  </si>
  <si>
    <t xml:space="preserve">Olympic DD14 Furniture Kit</t>
  </si>
  <si>
    <t xml:space="preserve">877.50</t>
  </si>
  <si>
    <t xml:space="preserve">Furniture Kits: DownDraft (DD) Gas Kilns — DD14</t>
  </si>
  <si>
    <t xml:space="preserve">OL2018BR</t>
  </si>
  <si>
    <t xml:space="preserve">Olympic: ADD a 4.5" blank ring: ADDs 1.98 cu ft.</t>
  </si>
  <si>
    <t xml:space="preserve">$480 confirmed by Sheffield Pottery (20" oval ring), despite the "1.98 cu ft" in the listing</t>
  </si>
  <si>
    <t xml:space="preserve">OL25HOFK</t>
  </si>
  <si>
    <t xml:space="preserve">Olympic ADD the Oval 25H Furniture Kit</t>
  </si>
  <si>
    <t xml:space="preserve">742.50</t>
  </si>
  <si>
    <t xml:space="preserve">Furniture Kits: Oval Kilns — 2518HE, 2523HE, 2527HE, 2531HE</t>
  </si>
  <si>
    <t xml:space="preserve">OL30HEFK</t>
  </si>
  <si>
    <t xml:space="preserve">ADD the Oval 30H Furniture Kit</t>
  </si>
  <si>
    <t xml:space="preserve">975.00</t>
  </si>
  <si>
    <t xml:space="preserve">Furniture Kits: Oval Kilns — 3018HE, 3023HE, 3027HE, 3031HE</t>
  </si>
  <si>
    <t xml:space="preserve">OLDD17FK</t>
  </si>
  <si>
    <t xml:space="preserve">Olympic DD17 Furniture Kit</t>
  </si>
  <si>
    <t xml:space="preserve">Furniture Kits: DownDraft (DD) Gas Kilns — DD17</t>
  </si>
  <si>
    <t xml:space="preserve">OLDD20FK</t>
  </si>
  <si>
    <t xml:space="preserve">Olympic DD20 Furniture Kit</t>
  </si>
  <si>
    <t xml:space="preserve">1361.25</t>
  </si>
  <si>
    <t xml:space="preserve">Furniture Kits: DownDraft (DD) Gas Kilns — DD20</t>
  </si>
  <si>
    <t xml:space="preserve">OLHLC120</t>
  </si>
  <si>
    <t xml:space="preserve">Olympic 120V High Limit Controller</t>
  </si>
  <si>
    <t xml:space="preserve">1320.00</t>
  </si>
  <si>
    <t xml:space="preserve">120V version; the list shows one price</t>
  </si>
  <si>
    <t xml:space="preserve">OLDD24FK</t>
  </si>
  <si>
    <t xml:space="preserve">Olympic DD24 Furniture Kit</t>
  </si>
  <si>
    <t xml:space="preserve">1413.75</t>
  </si>
  <si>
    <t xml:space="preserve">Furniture Kits: DownDraft (DD) Gas Kilns — DD24</t>
  </si>
  <si>
    <t xml:space="preserve">OLDD30FK</t>
  </si>
  <si>
    <t xml:space="preserve">Olympic DD30 Furniture Kit</t>
  </si>
  <si>
    <t xml:space="preserve">1545.00</t>
  </si>
  <si>
    <t xml:space="preserve">Furniture Kits: DownDraft (DD) Gas Kilns — DD30</t>
  </si>
  <si>
    <t xml:space="preserve">OLDD40FK</t>
  </si>
  <si>
    <t xml:space="preserve">Olympic DD40 Furniture Kit</t>
  </si>
  <si>
    <t xml:space="preserve">1710.00</t>
  </si>
  <si>
    <t xml:space="preserve">Furniture Kits: DownDraft (DD) Gas Kilns — DD40</t>
  </si>
  <si>
    <t xml:space="preserve">OLTRAVFK</t>
  </si>
  <si>
    <t xml:space="preserve">Traveler Furniture Kit</t>
  </si>
  <si>
    <t xml:space="preserve">176.25</t>
  </si>
  <si>
    <t xml:space="preserve">Furniture Kits: 120 Volt Kilns — TRAVELER</t>
  </si>
  <si>
    <t xml:space="preserve">OLLPR18</t>
  </si>
  <si>
    <t xml:space="preserve">Olympic: ADD Low Pressure Regulator for 18" Gas Kiln</t>
  </si>
  <si>
    <t xml:space="preserve">155.00</t>
  </si>
  <si>
    <t xml:space="preserve">Accessories: Low Pressure Regulator 18"</t>
  </si>
  <si>
    <t xml:space="preserve">OLGH</t>
  </si>
  <si>
    <t xml:space="preserve">Olympic Galvanized Hood for DD Gas Kilns</t>
  </si>
  <si>
    <t xml:space="preserve">1695.00</t>
  </si>
  <si>
    <t xml:space="preserve">OLHSSUPD</t>
  </si>
  <si>
    <t xml:space="preserve">Olympic 36"x36" Stainless Vent Hood for 18" and 23" Gas Kilns</t>
  </si>
  <si>
    <t xml:space="preserve">1525.00</t>
  </si>
  <si>
    <t xml:space="preserve">Accessories: Vent Hood for 18" &amp; 23" kilns</t>
  </si>
  <si>
    <t xml:space="preserve">OLSSH4040</t>
  </si>
  <si>
    <t xml:space="preserve">Olympic 40"x40" Stainless Vent Hood for 28" Gas Kilns</t>
  </si>
  <si>
    <t xml:space="preserve">1670.00</t>
  </si>
  <si>
    <t xml:space="preserve">Accessories: Vent Hood for 28" kilns</t>
  </si>
  <si>
    <t xml:space="preserve">OLHOSS</t>
  </si>
  <si>
    <t xml:space="preserve">Olympic Stainless Hood for DD Gas Kilns</t>
  </si>
  <si>
    <t xml:space="preserve">OLWINDOW24</t>
  </si>
  <si>
    <t xml:space="preserve">Olympic: ADD 2" x 4" Rectangle Quartz Window</t>
  </si>
  <si>
    <t xml:space="preserve">127.00</t>
  </si>
  <si>
    <t xml:space="preserve">Accessories: Quartz Glass Viewing Window (Rectangle 4"w x 2"h for GLASS kilns)</t>
  </si>
  <si>
    <t xml:space="preserve">OLWINDOW2R</t>
  </si>
  <si>
    <t xml:space="preserve">Olympic: ADD 2" Round Quartz Window</t>
  </si>
  <si>
    <t xml:space="preserve">94.00</t>
  </si>
  <si>
    <t xml:space="preserve">Accessories: Quartz Glass Viewing Window (Round 2" diameter for GLASS kilns)</t>
  </si>
  <si>
    <t xml:space="preserve">OLHB64E</t>
  </si>
  <si>
    <t xml:space="preserve">Olympic Hotbox or HB64 Furniture Kit</t>
  </si>
  <si>
    <t xml:space="preserve">63.75</t>
  </si>
  <si>
    <t xml:space="preserve">OLO20FK</t>
  </si>
  <si>
    <t xml:space="preserve">ADD the Oval 20 Furniture Kit</t>
  </si>
  <si>
    <t xml:space="preserve">371.25</t>
  </si>
  <si>
    <t xml:space="preserve">Furniture Kits: Oval Kilns — 209GFE &amp; 2014GFE</t>
  </si>
  <si>
    <t xml:space="preserve">listing just says "Oval 20"; priced as the glass oval kit. If it is for 2018HE/2023HE/2027HE it is $830</t>
  </si>
  <si>
    <t xml:space="preserve">OLDM1823FK</t>
  </si>
  <si>
    <t xml:space="preserve">DM 1818 and 1823 Furniture Kit</t>
  </si>
  <si>
    <t xml:space="preserve">228.75</t>
  </si>
  <si>
    <t xml:space="preserve">Furniture Kits: Dual Media Kilns — 18/18H"</t>
  </si>
  <si>
    <t xml:space="preserve">OLDM182327FK</t>
  </si>
  <si>
    <t xml:space="preserve">DM 2318, 2323 and 2327 Furniture Kit</t>
  </si>
  <si>
    <t xml:space="preserve">427.50</t>
  </si>
  <si>
    <t xml:space="preserve">Furniture Kits: Dual Media Kilns — 23H"</t>
  </si>
  <si>
    <t xml:space="preserve">OLDM2818FK</t>
  </si>
  <si>
    <t xml:space="preserve">DM 2818 Furniture Kit</t>
  </si>
  <si>
    <t xml:space="preserve">Furniture Kits: Dual Media Kilns — 28H"</t>
  </si>
  <si>
    <t xml:space="preserve">OLDM2327FK</t>
  </si>
  <si>
    <t xml:space="preserve">DM 2823 and 2827 Furniture Kit</t>
  </si>
  <si>
    <t xml:space="preserve">OLDM2523FK</t>
  </si>
  <si>
    <t xml:space="preserve">DM 2523 Furniture Kit</t>
  </si>
  <si>
    <t xml:space="preserve">772.50</t>
  </si>
  <si>
    <t xml:space="preserve">Furniture Kits: Dual Media Kilns — 25H Ovals</t>
  </si>
  <si>
    <t xml:space="preserve">OLDM301823FK</t>
  </si>
  <si>
    <t xml:space="preserve">DM 3018 and 3023 Furniture Kit</t>
  </si>
  <si>
    <t xml:space="preserve">903.75</t>
  </si>
  <si>
    <t xml:space="preserve">Furniture Kits: Dual Media Kilns — 30H Ovals</t>
  </si>
  <si>
    <t xml:space="preserve">OL2731GFK</t>
  </si>
  <si>
    <t xml:space="preserve">2327, 2331 TorcHBearer Furniture Kit</t>
  </si>
  <si>
    <t xml:space="preserve">567.00</t>
  </si>
  <si>
    <t xml:space="preserve">Furniture Kits: UpDraft Gas Kilns (Raku &amp; Torchbearer) — 23 Torchbearer</t>
  </si>
  <si>
    <t xml:space="preserve">OLGF2ETLCSK</t>
  </si>
  <si>
    <t xml:space="preserve">Olympic GF2ETLC : ADD the shelf kit</t>
  </si>
  <si>
    <t xml:space="preserve">250.00</t>
  </si>
  <si>
    <t xml:space="preserve">Furniture Kits: 20" &amp; 25" Wide Square Kilns — GF2s</t>
  </si>
  <si>
    <t xml:space="preserve">OLGF3ETLCSK</t>
  </si>
  <si>
    <t xml:space="preserve">Olympi: ADD Shelf kit to GF3ETLC Save 20%</t>
  </si>
  <si>
    <t xml:space="preserve">330.00</t>
  </si>
  <si>
    <t xml:space="preserve">Furniture Kits: 20" &amp; 25" Wide Square Kilns — GF3s</t>
  </si>
  <si>
    <t xml:space="preserve">OLEK3Z</t>
  </si>
  <si>
    <t xml:space="preserve">Olympic 3 Zone Option for Electric Kilns</t>
  </si>
  <si>
    <t xml:space="preserve">240.00</t>
  </si>
  <si>
    <t xml:space="preserve">Accessories: 3 Zone Control</t>
  </si>
  <si>
    <t xml:space="preserve">2-zone control is $150</t>
  </si>
  <si>
    <t xml:space="preserve">OL18BR</t>
  </si>
  <si>
    <t xml:space="preserve">ADD Blank ring to 18" (non "H") ADDs 0.66 cu ft.</t>
  </si>
  <si>
    <t xml:space="preserve">Accessories: 18" Blank Ring</t>
  </si>
  <si>
    <t xml:space="preserve">OL18BRH</t>
  </si>
  <si>
    <t xml:space="preserve">ADD Blank ring to 18" "H" Models ADDs 0.66 cu ft.</t>
  </si>
  <si>
    <t xml:space="preserve">Accessories: 18H" Blank Ring</t>
  </si>
  <si>
    <t xml:space="preserve">OL23HFK</t>
  </si>
  <si>
    <t xml:space="preserve">ADD Furniture Kit to 23"H Standard Electric Kiln</t>
  </si>
  <si>
    <t xml:space="preserve">491.25</t>
  </si>
  <si>
    <t xml:space="preserve">Furniture Kits: 23" Wide Stackable Kilns — 23H"</t>
  </si>
  <si>
    <t xml:space="preserve">OL18HFK</t>
  </si>
  <si>
    <t xml:space="preserve">ADD Furniture Kit to Standard 18" Electric Kiln</t>
  </si>
  <si>
    <t xml:space="preserve">257.00</t>
  </si>
  <si>
    <t xml:space="preserve">Furniture Kits: 18" Wide Kilns — 18" Wide Stackable</t>
  </si>
  <si>
    <t xml:space="preserve">listing says "Standard 18\" Electric Kiln"; the 18" square-kiln kit is $225</t>
  </si>
  <si>
    <t xml:space="preserve">OL28HFK</t>
  </si>
  <si>
    <t xml:space="preserve">ADD Furniture Kit to 28"H Standard Electric Kiln</t>
  </si>
  <si>
    <t xml:space="preserve">Furniture Kits: 28" Wide Stackable Kilns — 28H"</t>
  </si>
  <si>
    <t xml:space="preserve">OL28FK</t>
  </si>
  <si>
    <t xml:space="preserve">ADD Furniture Kit to 28" Standard Electric Kiln</t>
  </si>
  <si>
    <t xml:space="preserve">495.00</t>
  </si>
  <si>
    <t xml:space="preserve">Furniture Kits: 28" Wide Stackable Kilns — 28"</t>
  </si>
  <si>
    <t xml:space="preserve">OL23FK</t>
  </si>
  <si>
    <t xml:space="preserve">ADD Furniture Kit to 23" 2.5" Electric Kiln</t>
  </si>
  <si>
    <t xml:space="preserve">Furniture Kits: 23" Wide Stackable Kilns — 23"</t>
  </si>
  <si>
    <t xml:space="preserve">OL23BR</t>
  </si>
  <si>
    <t xml:space="preserve">ADD Blank ring to 23" (non "H") ADDs 1.05 cu ft.</t>
  </si>
  <si>
    <t xml:space="preserve">Accessories: 23" Blank Ring</t>
  </si>
  <si>
    <t xml:space="preserve">OL23HBR</t>
  </si>
  <si>
    <t xml:space="preserve">ADD Blank ring to 23" ("H" Models) ADDs 1.05 cu ft.</t>
  </si>
  <si>
    <t xml:space="preserve">Accessories: 23H" Blank Ring</t>
  </si>
  <si>
    <t xml:space="preserve">OL28HBR</t>
  </si>
  <si>
    <t xml:space="preserve">ADD Blank ring to 28" ("H" and Non-"H"Models) ADDs 1.67 cu ft.</t>
  </si>
  <si>
    <t xml:space="preserve">385.00</t>
  </si>
  <si>
    <t xml:space="preserve">Accessories: 28/28H" Blank Ring</t>
  </si>
  <si>
    <t xml:space="preserve">OLDTFK</t>
  </si>
  <si>
    <t xml:space="preserve">Olympic Doll/Test Mini Oval Furniture Kit</t>
  </si>
  <si>
    <t xml:space="preserve">71.25</t>
  </si>
  <si>
    <t xml:space="preserve">Furniture Kits: 120 Volt Kilns — DOLL E/TEST E</t>
  </si>
  <si>
    <t xml:space="preserve">OLHB8FK</t>
  </si>
  <si>
    <t xml:space="preserve">Olympic HB84, HB86 and HB89 Furniture Kit</t>
  </si>
  <si>
    <t xml:space="preserve">67.50</t>
  </si>
  <si>
    <t xml:space="preserve">Furniture Kits: 120 Volt Kilns — HB84E, HB86E, HB89E</t>
  </si>
  <si>
    <t xml:space="preserve">OL12FK</t>
  </si>
  <si>
    <t xml:space="preserve">Olympic 129 and 1214-120 Furniture Kit</t>
  </si>
  <si>
    <t xml:space="preserve">122.25</t>
  </si>
  <si>
    <t xml:space="preserve">Furniture Kits: 120 Volt Kilns — 129E, 1214-120E, 1214-120HE</t>
  </si>
  <si>
    <t xml:space="preserve">OLVMEK</t>
  </si>
  <si>
    <t xml:space="preserve">Olympic: Vent Master Expansion Kit</t>
  </si>
  <si>
    <t xml:space="preserve">180.00</t>
  </si>
  <si>
    <t xml:space="preserve">Accessories: VentMaster Expansion Kit</t>
  </si>
  <si>
    <t xml:space="preserve">OLDM3P</t>
  </si>
  <si>
    <t xml:space="preserve">Three Phase</t>
  </si>
  <si>
    <t xml:space="preserve">90.00</t>
  </si>
  <si>
    <t xml:space="preserve">Accessories: 3 Phase Wiring-Studio Line/Large Capacity — studio line</t>
  </si>
  <si>
    <t xml:space="preserve">list cell reads "$110/$450"</t>
  </si>
  <si>
    <t xml:space="preserve">OLCEK3Z</t>
  </si>
  <si>
    <t xml:space="preserve">Olympic Zone Control Option for Commercial Electric Kilns</t>
  </si>
  <si>
    <t xml:space="preserve">listing says "zone control" without a count; 2-zone is $150</t>
  </si>
  <si>
    <t xml:space="preserve">OLKSC</t>
  </si>
  <si>
    <t xml:space="preserve">Olympic Kiln Star Controller</t>
  </si>
  <si>
    <t xml:space="preserve">50.00</t>
  </si>
  <si>
    <t xml:space="preserve">KilnStar is the base controller in the 2026 list, so it carries no separate upgrade price</t>
  </si>
  <si>
    <t xml:space="preserve">OL2827GFK</t>
  </si>
  <si>
    <t xml:space="preserve">2827 and 2831 TorcHBearer Furniture Kit</t>
  </si>
  <si>
    <t xml:space="preserve">622.50</t>
  </si>
  <si>
    <t xml:space="preserve">Furniture Kits: UpDraft Gas Kilns (Raku &amp; Torchbearer) — 28 Torchbearer</t>
  </si>
  <si>
    <t xml:space="preserve">OLEKC</t>
  </si>
  <si>
    <t xml:space="preserve">Olympic Castors</t>
  </si>
  <si>
    <t xml:space="preserve">265.00</t>
  </si>
  <si>
    <t xml:space="preserve">Accessories: Castors-Studio Kilns</t>
  </si>
  <si>
    <t xml:space="preserve">large-capacity castors are $450</t>
  </si>
  <si>
    <t xml:space="preserve">OLMAS28SFK</t>
  </si>
  <si>
    <t xml:space="preserve">Olympic MAS28 Series Furniture Kit</t>
  </si>
  <si>
    <t xml:space="preserve">Furniture Kits: Medallion Artist Series — 28H"</t>
  </si>
  <si>
    <t xml:space="preserve">MAS 28-series kit</t>
  </si>
  <si>
    <t xml:space="preserve">OLGENESIS</t>
  </si>
  <si>
    <t xml:space="preserve">Olympic Kilns Upgrade to Genesis Touchscreen Controller</t>
  </si>
  <si>
    <t xml:space="preserve">110.00</t>
  </si>
  <si>
    <t xml:space="preserve">Kilns: Genesis upgrade</t>
  </si>
  <si>
    <t xml:space="preserve">Genesis adds $150 on most models, but it varies by model ($120-$160 on studio kilns) — see the Kilns sheet</t>
  </si>
  <si>
    <t xml:space="preserve">OLSC12K</t>
  </si>
  <si>
    <t xml:space="preserve">Olympic 120V 12 Key Kiln Star Controller</t>
  </si>
  <si>
    <t xml:space="preserve">OLVG3DC</t>
  </si>
  <si>
    <t xml:space="preserve">Olympic Vitrigraph: Upgrade to 3 Key Digital Controller</t>
  </si>
  <si>
    <t xml:space="preserve">170.00</t>
  </si>
  <si>
    <t xml:space="preserve">the 2026 list prices the HB86 Vitrigraph by controller, not as a controller upgrade</t>
  </si>
  <si>
    <t xml:space="preserve">OES12KC</t>
  </si>
  <si>
    <t xml:space="preserve">Olympic Electro-Sitter : Kiln Star 12 Key Controller</t>
  </si>
  <si>
    <t xml:space="preserve">Electro Sitter KilnStar is the base version; no separate upgrade price in the list</t>
  </si>
  <si>
    <t xml:space="preserve">OESGENESISTSC</t>
  </si>
  <si>
    <t xml:space="preserve">Olympic Electro-Sitter : Genesis Touch-Screen Controller</t>
  </si>
  <si>
    <t xml:space="preserve">Accessories: Electro Sitter Genesis $1,450 less KilnStar $1,250</t>
  </si>
  <si>
    <t xml:space="preserve">derived from the two Electro Sitter prices</t>
  </si>
  <si>
    <t xml:space="preserve">OLLSS</t>
  </si>
  <si>
    <t xml:space="preserve">Olympic: ADD Lid Safety Shut Off</t>
  </si>
  <si>
    <t xml:space="preserve">95.00</t>
  </si>
  <si>
    <t xml:space="preserve">Accessories: Automatic Lid Shut-off</t>
  </si>
  <si>
    <t xml:space="preserve">OLDME</t>
  </si>
  <si>
    <t xml:space="preserve">Olympic: ADD Lid Elements for Glass and Ceramics: ADDS 8 AMPS to the k</t>
  </si>
  <si>
    <t xml:space="preserve">Accessories: Dual Media (DM) Lid Element</t>
  </si>
  <si>
    <t xml:space="preserve">OLLA</t>
  </si>
  <si>
    <t xml:space="preserve">Olympic ADD Lid Lift Assist</t>
  </si>
  <si>
    <t xml:space="preserve">445.00</t>
  </si>
  <si>
    <t xml:space="preserve">Accessories: Lid Assist</t>
  </si>
  <si>
    <t xml:space="preserve">retro-fit version is $750</t>
  </si>
  <si>
    <t xml:space="preserve">OLL23PR</t>
  </si>
  <si>
    <t xml:space="preserve">Olympic: Add Low Pressure Regulator for 23" or 28" Gas Kiln</t>
  </si>
  <si>
    <t xml:space="preserve">Accessories: Low Pressure Regulator 23" &amp; 28"</t>
  </si>
  <si>
    <t xml:space="preserve">OLTL5432FK</t>
  </si>
  <si>
    <t xml:space="preserve">Olympi Kilns: ADD Furniture Kit to TL5432</t>
  </si>
  <si>
    <t xml:space="preserve">2478.75</t>
  </si>
  <si>
    <t xml:space="preserve">Furniture Kits: Large Capacity Kilns — TL5428E, TL5432E</t>
  </si>
  <si>
    <t xml:space="preserve">OLPHASE3</t>
  </si>
  <si>
    <t xml:space="preserve">Olympic 3 Phase Option</t>
  </si>
  <si>
    <t xml:space="preserve">OLLSO</t>
  </si>
  <si>
    <t xml:space="preserve">Olympic: Auto Lid Shut-Off (Required in Europe)</t>
  </si>
  <si>
    <t xml:space="preserve">OLVSSEK</t>
  </si>
  <si>
    <t xml:space="preserve">Olympic : ADD Vent System to Standard Electric Kiln</t>
  </si>
  <si>
    <t xml:space="preserve">529.00</t>
  </si>
  <si>
    <t xml:space="preserve">Accessories: VentMaster</t>
  </si>
  <si>
    <t xml:space="preserve">OL20BR</t>
  </si>
  <si>
    <t xml:space="preserve">Olympic ADD a 4.5" blank ring: ADDs 1.3 cu ft.</t>
  </si>
  <si>
    <t xml:space="preserve">360.00</t>
  </si>
  <si>
    <t xml:space="preserve">OL30BR</t>
  </si>
  <si>
    <t xml:space="preserve">ADD a 4.5" blank ring: ADDs 2.75 cu ft.</t>
  </si>
  <si>
    <t xml:space="preserve">OLCWLS</t>
  </si>
  <si>
    <t xml:space="preserve">Olympic: Counter Weight Lid System: OPTION ONLY:</t>
  </si>
  <si>
    <t xml:space="preserve">"counter weight lid system" priced as Lid Assist; retro-fit is $750</t>
  </si>
  <si>
    <t xml:space="preserve">OLDVC</t>
  </si>
  <si>
    <t xml:space="preserve">Olympic: Downdraft Venting System</t>
  </si>
  <si>
    <t xml:space="preserve">785.00</t>
  </si>
  <si>
    <t xml:space="preserve">OL3ZONE</t>
  </si>
  <si>
    <t xml:space="preserve">Olympic Stackable ADD 3 Zone Option</t>
  </si>
  <si>
    <t xml:space="preserve">OL3PCK</t>
  </si>
  <si>
    <t xml:space="preserve">Olympic 3 Phase: Commercial Kilns</t>
  </si>
  <si>
    <t xml:space="preserve">440.00</t>
  </si>
  <si>
    <t xml:space="preserve">Accessories: 3 Phase Wiring-Studio Line/Large Capacity — large capacity</t>
  </si>
  <si>
    <t xml:space="preserve">OLSSR17</t>
  </si>
  <si>
    <t xml:space="preserve">Olympic Solid State Relays for FL17, FL20,FL24</t>
  </si>
  <si>
    <t xml:space="preserve">600.00</t>
  </si>
  <si>
    <t xml:space="preserve">Solid State Relays: 76-100 Amps, 1 phase</t>
  </si>
  <si>
    <t xml:space="preserve">$650 confirmed by Sheffield Pottery — relays are priced by amperage and FL17/FL20/FL24 all draw 70-98A</t>
  </si>
  <si>
    <t xml:space="preserve">OLSSR173P</t>
  </si>
  <si>
    <t xml:space="preserve">Olympic Solid State Relays for FL17, FL20,FL24 when 3 Phase</t>
  </si>
  <si>
    <t xml:space="preserve">850.00</t>
  </si>
  <si>
    <t xml:space="preserve">Solid State Relays: 76-100 Amps, 3 phase</t>
  </si>
  <si>
    <t xml:space="preserve">same 76-100A band as OLSSR17, which Sheffield confirmed at $650</t>
  </si>
  <si>
    <t xml:space="preserve">OLFL20FK</t>
  </si>
  <si>
    <t xml:space="preserve">Olympic FL17 and FL20 Furniture Kit</t>
  </si>
  <si>
    <t xml:space="preserve">984.30</t>
  </si>
  <si>
    <t xml:space="preserve">Furniture Kits: Large Capacity Kilns — FL17E, FL20E</t>
  </si>
  <si>
    <t xml:space="preserve">OLPHASE3C</t>
  </si>
  <si>
    <t xml:space="preserve">Olympic 3 Phase Commercial Kilns Option</t>
  </si>
  <si>
    <t xml:space="preserve">OL480V</t>
  </si>
  <si>
    <t xml:space="preserve">Olympic 480 Volt upgrade on Commercial Kilns</t>
  </si>
  <si>
    <t xml:space="preserve">Accessories: 480 volt</t>
  </si>
  <si>
    <t xml:space="preserve">OLFL45FK</t>
  </si>
  <si>
    <t xml:space="preserve">Olympic FL4.5 Furniture Kit</t>
  </si>
  <si>
    <t xml:space="preserve">447.95</t>
  </si>
  <si>
    <t xml:space="preserve">Furniture Kits: Large Capacity Kilns — FL4.5E</t>
  </si>
  <si>
    <t xml:space="preserve">OLFL55FK</t>
  </si>
  <si>
    <t xml:space="preserve">Olympic FL5.5 Furniture Kit</t>
  </si>
  <si>
    <t xml:space="preserve">Furniture Kits: Large Capacity Kilns — FL5.5E</t>
  </si>
  <si>
    <t xml:space="preserve">OLFL8FK</t>
  </si>
  <si>
    <t xml:space="preserve">Olympic FL8, FL10, FL12 Furniture Kit</t>
  </si>
  <si>
    <t xml:space="preserve">799.00</t>
  </si>
  <si>
    <t xml:space="preserve">Furniture Kits: Large Capacity Kilns — FL8E, FL10E, FL12E</t>
  </si>
  <si>
    <t xml:space="preserve">OLFL24FK</t>
  </si>
  <si>
    <t xml:space="preserve">Olympic FL24 Furniture Kit</t>
  </si>
  <si>
    <t xml:space="preserve">1819.00</t>
  </si>
  <si>
    <t xml:space="preserve">Furniture Kits: Large Capacity Kilns — FL24E</t>
  </si>
  <si>
    <t xml:space="preserve">OLFL27FK</t>
  </si>
  <si>
    <t xml:space="preserve">Olympic FL27, FL31 Furniture Kit</t>
  </si>
  <si>
    <t xml:space="preserve">Furniture Kits: Large Capacity Kilns — FL27E, FL31E</t>
  </si>
  <si>
    <t xml:space="preserve">OLFL36FK</t>
  </si>
  <si>
    <t xml:space="preserve">Olympic FL36 Furniture Kit</t>
  </si>
  <si>
    <t xml:space="preserve">1889.00</t>
  </si>
  <si>
    <t xml:space="preserve">Furniture Kits: Large Capacity Kilns — FL36E</t>
  </si>
  <si>
    <t xml:space="preserve">OLFL42FK</t>
  </si>
  <si>
    <t xml:space="preserve">Olympic FL42 Furniture Kit</t>
  </si>
  <si>
    <t xml:space="preserve">Furniture Kits: Large Capacity Kilns — FL42E</t>
  </si>
  <si>
    <t xml:space="preserve">OLFL53FK</t>
  </si>
  <si>
    <t xml:space="preserve">Olympic FL53 Furniture Kit</t>
  </si>
  <si>
    <t xml:space="preserve">3599.00</t>
  </si>
  <si>
    <t xml:space="preserve">Furniture Kits: Large Capacity Kilns — FL53E</t>
  </si>
  <si>
    <t xml:space="preserve">OLFL64FK</t>
  </si>
  <si>
    <t xml:space="preserve">Olympic FL64 Furniture Kit</t>
  </si>
  <si>
    <t xml:space="preserve">2189.00</t>
  </si>
  <si>
    <t xml:space="preserve">Furniture Kits: Large Capacity Kilns — FL64E</t>
  </si>
  <si>
    <t xml:space="preserve">OLFL10</t>
  </si>
  <si>
    <t xml:space="preserve">Olympic FL-10 Front Loading Electric Kiln</t>
  </si>
  <si>
    <t xml:space="preserve">8999.00</t>
  </si>
  <si>
    <t xml:space="preserve">Kilns: FL10E (base = KilnStar)</t>
  </si>
  <si>
    <t xml:space="preserve">OLFL45</t>
  </si>
  <si>
    <t xml:space="preserve">Olympic FL-4.5 Front Loading Electric Kiln</t>
  </si>
  <si>
    <t xml:space="preserve">6299.00</t>
  </si>
  <si>
    <t xml:space="preserve">Kilns: FL4.5E (base = KilnStar)</t>
  </si>
  <si>
    <t xml:space="preserve">OLFL24-old</t>
  </si>
  <si>
    <t xml:space="preserve">Olympic FL-24 - ARCHIVE</t>
  </si>
  <si>
    <t xml:space="preserve">14599.00</t>
  </si>
  <si>
    <t xml:space="preserve">listing is marked ARCHIVE — priced the same as the current FL24 listing</t>
  </si>
  <si>
    <t xml:space="preserve">OLFL36</t>
  </si>
  <si>
    <t xml:space="preserve">Olympic FL-36 Front Loading Electric Kiln</t>
  </si>
  <si>
    <t xml:space="preserve">21999.00</t>
  </si>
  <si>
    <t xml:space="preserve">Kilns: FL36E (base = KilnStar)</t>
  </si>
  <si>
    <t xml:space="preserve">OL23RAKUFK</t>
  </si>
  <si>
    <t xml:space="preserve">Olympic 23 Raku Furniture Kit</t>
  </si>
  <si>
    <t xml:space="preserve">old compare ($756) matches the 23 Torchbearer kit, not the 23 Raku kit — check which one this SKU really 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</si>
</sst>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##"/>
    <numFmt numFmtId="166" formatCode="0.0%;\-0.0%;\—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9"/>
    <col collapsed="false" customWidth="true" hidden="false" outlineLevel="0" max="8" min="8" style="0" width="66"/>
    <col collapsed="false" customWidth="true" hidden="false" outlineLevel="0" max="9" min="9" style="0" width="11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4" t="s">
        <v>11</v>
      </c>
      <c r="D2" s="4" t="n">
        <v>195</v>
      </c>
      <c r="E2" s="4" t="n">
        <v>215</v>
      </c>
      <c r="F2" s="3" t="s">
        <v>12</v>
      </c>
      <c r="G2" s="2" t="s">
        <v>13</v>
      </c>
      <c r="H2" s="3" t="s">
        <v>14</v>
      </c>
      <c r="I2" s="5" t="n">
        <f aca="false">IF(OR(E2="",D2=""),"",E2/D2-1)</f>
        <v>0.102564102564103</v>
      </c>
    </row>
    <row r="3" customFormat="false" ht="15" hidden="false" customHeight="false" outlineLevel="0" collapsed="false">
      <c r="A3" s="6" t="s">
        <v>15</v>
      </c>
      <c r="B3" s="7" t="s">
        <v>16</v>
      </c>
      <c r="C3" s="8" t="s">
        <v>17</v>
      </c>
      <c r="D3" s="8"/>
      <c r="E3" s="8"/>
      <c r="F3" s="7"/>
      <c r="G3" s="6" t="s">
        <v>18</v>
      </c>
      <c r="H3" s="7" t="s">
        <v>19</v>
      </c>
      <c r="I3" s="9" t="str">
        <f aca="false">IF(OR(E3="",D3=""),"",E3/D3-1)</f>
        <v/>
      </c>
    </row>
    <row r="4" customFormat="false" ht="15" hidden="false" customHeight="false" outlineLevel="0" collapsed="false">
      <c r="A4" s="2" t="s">
        <v>20</v>
      </c>
      <c r="B4" s="3" t="s">
        <v>21</v>
      </c>
      <c r="C4" s="4" t="s">
        <v>22</v>
      </c>
      <c r="D4" s="4"/>
      <c r="E4" s="4" t="n">
        <v>480</v>
      </c>
      <c r="F4" s="3" t="s">
        <v>23</v>
      </c>
      <c r="G4" s="2" t="s">
        <v>24</v>
      </c>
      <c r="H4" s="3" t="s">
        <v>25</v>
      </c>
      <c r="I4" s="5" t="str">
        <f aca="false">IF(OR(E4="",D4=""),"",E4/D4-1)</f>
        <v/>
      </c>
    </row>
    <row r="5" customFormat="false" ht="15" hidden="false" customHeight="false" outlineLevel="0" collapsed="false">
      <c r="A5" s="2" t="s">
        <v>26</v>
      </c>
      <c r="B5" s="3" t="s">
        <v>27</v>
      </c>
      <c r="C5" s="4" t="s">
        <v>28</v>
      </c>
      <c r="D5" s="4"/>
      <c r="E5" s="4" t="n">
        <v>560</v>
      </c>
      <c r="F5" s="3" t="s">
        <v>29</v>
      </c>
      <c r="G5" s="2" t="s">
        <v>24</v>
      </c>
      <c r="H5" s="3"/>
      <c r="I5" s="5" t="str">
        <f aca="false">IF(OR(E5="",D5=""),"",E5/D5-1)</f>
        <v/>
      </c>
    </row>
    <row r="6" customFormat="false" ht="15" hidden="false" customHeight="false" outlineLevel="0" collapsed="false">
      <c r="A6" s="2" t="s">
        <v>30</v>
      </c>
      <c r="B6" s="3" t="s">
        <v>31</v>
      </c>
      <c r="C6" s="4" t="s">
        <v>32</v>
      </c>
      <c r="D6" s="4"/>
      <c r="E6" s="4" t="n">
        <v>625</v>
      </c>
      <c r="F6" s="3" t="s">
        <v>33</v>
      </c>
      <c r="G6" s="2" t="s">
        <v>24</v>
      </c>
      <c r="H6" s="3"/>
      <c r="I6" s="5" t="str">
        <f aca="false">IF(OR(E6="",D6=""),"",E6/D6-1)</f>
        <v/>
      </c>
    </row>
    <row r="7" customFormat="false" ht="23.85" hidden="false" customHeight="false" outlineLevel="0" collapsed="false">
      <c r="A7" s="6" t="s">
        <v>34</v>
      </c>
      <c r="B7" s="7" t="s">
        <v>35</v>
      </c>
      <c r="C7" s="8" t="s">
        <v>36</v>
      </c>
      <c r="D7" s="8"/>
      <c r="E7" s="8" t="n">
        <v>275</v>
      </c>
      <c r="F7" s="7" t="s">
        <v>37</v>
      </c>
      <c r="G7" s="6" t="s">
        <v>38</v>
      </c>
      <c r="H7" s="7" t="s">
        <v>39</v>
      </c>
      <c r="I7" s="9" t="str">
        <f aca="false">IF(OR(E7="",D7=""),"",E7/D7-1)</f>
        <v/>
      </c>
    </row>
    <row r="8" customFormat="false" ht="15" hidden="false" customHeight="false" outlineLevel="0" collapsed="false">
      <c r="A8" s="6" t="s">
        <v>40</v>
      </c>
      <c r="B8" s="7" t="s">
        <v>41</v>
      </c>
      <c r="C8" s="8" t="s">
        <v>42</v>
      </c>
      <c r="D8" s="8"/>
      <c r="E8" s="8" t="n">
        <v>65</v>
      </c>
      <c r="F8" s="7" t="s">
        <v>43</v>
      </c>
      <c r="G8" s="6" t="s">
        <v>38</v>
      </c>
      <c r="H8" s="7" t="s">
        <v>44</v>
      </c>
      <c r="I8" s="9" t="str">
        <f aca="false">IF(OR(E8="",D8=""),"",E8/D8-1)</f>
        <v/>
      </c>
    </row>
    <row r="9" customFormat="false" ht="15" hidden="false" customHeight="false" outlineLevel="0" collapsed="false">
      <c r="A9" s="6" t="s">
        <v>45</v>
      </c>
      <c r="B9" s="7" t="s">
        <v>46</v>
      </c>
      <c r="C9" s="8" t="s">
        <v>47</v>
      </c>
      <c r="D9" s="8"/>
      <c r="E9" s="8"/>
      <c r="F9" s="7"/>
      <c r="G9" s="6" t="s">
        <v>18</v>
      </c>
      <c r="H9" s="7" t="s">
        <v>48</v>
      </c>
      <c r="I9" s="9" t="str">
        <f aca="false">IF(OR(E9="",D9=""),"",E9/D9-1)</f>
        <v/>
      </c>
    </row>
    <row r="10" customFormat="false" ht="15" hidden="false" customHeight="false" outlineLevel="0" collapsed="false">
      <c r="A10" s="6" t="s">
        <v>49</v>
      </c>
      <c r="B10" s="7" t="s">
        <v>50</v>
      </c>
      <c r="C10" s="8" t="s">
        <v>51</v>
      </c>
      <c r="D10" s="8"/>
      <c r="E10" s="8"/>
      <c r="F10" s="7"/>
      <c r="G10" s="6" t="s">
        <v>18</v>
      </c>
      <c r="H10" s="7" t="s">
        <v>48</v>
      </c>
      <c r="I10" s="9" t="str">
        <f aca="false">IF(OR(E10="",D10=""),"",E10/D10-1)</f>
        <v/>
      </c>
    </row>
    <row r="11" customFormat="false" ht="15" hidden="false" customHeight="false" outlineLevel="0" collapsed="false">
      <c r="A11" s="6" t="s">
        <v>52</v>
      </c>
      <c r="B11" s="7" t="s">
        <v>53</v>
      </c>
      <c r="C11" s="8" t="s">
        <v>54</v>
      </c>
      <c r="D11" s="8"/>
      <c r="E11" s="8"/>
      <c r="F11" s="7"/>
      <c r="G11" s="6" t="s">
        <v>18</v>
      </c>
      <c r="H11" s="7" t="s">
        <v>55</v>
      </c>
      <c r="I11" s="9" t="str">
        <f aca="false">IF(OR(E11="",D11=""),"",E11/D11-1)</f>
        <v/>
      </c>
    </row>
    <row r="12" customFormat="false" ht="15" hidden="false" customHeight="false" outlineLevel="0" collapsed="false">
      <c r="A12" s="6" t="s">
        <v>56</v>
      </c>
      <c r="B12" s="7" t="s">
        <v>57</v>
      </c>
      <c r="C12" s="8" t="s">
        <v>58</v>
      </c>
      <c r="D12" s="8"/>
      <c r="E12" s="8"/>
      <c r="F12" s="7"/>
      <c r="G12" s="6" t="s">
        <v>18</v>
      </c>
      <c r="H12" s="7" t="s">
        <v>55</v>
      </c>
      <c r="I12" s="9" t="str">
        <f aca="false">IF(OR(E12="",D12=""),"",E12/D12-1)</f>
        <v/>
      </c>
    </row>
    <row r="13" customFormat="false" ht="15" hidden="false" customHeight="false" outlineLevel="0" collapsed="false">
      <c r="A13" s="6" t="s">
        <v>59</v>
      </c>
      <c r="B13" s="7" t="s">
        <v>60</v>
      </c>
      <c r="C13" s="8" t="s">
        <v>61</v>
      </c>
      <c r="D13" s="8"/>
      <c r="E13" s="8"/>
      <c r="F13" s="7"/>
      <c r="G13" s="6" t="s">
        <v>18</v>
      </c>
      <c r="H13" s="7" t="s">
        <v>55</v>
      </c>
      <c r="I13" s="9" t="str">
        <f aca="false">IF(OR(E13="",D13=""),"",E13/D13-1)</f>
        <v/>
      </c>
    </row>
    <row r="14" customFormat="false" ht="15" hidden="false" customHeight="false" outlineLevel="0" collapsed="false">
      <c r="A14" s="2" t="s">
        <v>62</v>
      </c>
      <c r="B14" s="3" t="s">
        <v>63</v>
      </c>
      <c r="C14" s="4" t="s">
        <v>64</v>
      </c>
      <c r="D14" s="4"/>
      <c r="E14" s="4" t="n">
        <v>1250</v>
      </c>
      <c r="F14" s="3" t="s">
        <v>65</v>
      </c>
      <c r="G14" s="2" t="s">
        <v>24</v>
      </c>
      <c r="H14" s="3" t="s">
        <v>66</v>
      </c>
      <c r="I14" s="5" t="str">
        <f aca="false">IF(OR(E14="",D14=""),"",E14/D14-1)</f>
        <v/>
      </c>
    </row>
    <row r="15" customFormat="false" ht="15" hidden="false" customHeight="false" outlineLevel="0" collapsed="false">
      <c r="A15" s="2" t="s">
        <v>67</v>
      </c>
      <c r="B15" s="3" t="s">
        <v>68</v>
      </c>
      <c r="C15" s="4" t="s">
        <v>69</v>
      </c>
      <c r="D15" s="4" t="n">
        <v>1905</v>
      </c>
      <c r="E15" s="4" t="n">
        <v>1965</v>
      </c>
      <c r="F15" s="3" t="s">
        <v>70</v>
      </c>
      <c r="G15" s="2" t="s">
        <v>13</v>
      </c>
      <c r="H15" s="3"/>
      <c r="I15" s="5" t="n">
        <f aca="false">IF(OR(E15="",D15=""),"",E15/D15-1)</f>
        <v>0.0314960629921259</v>
      </c>
    </row>
    <row r="16" customFormat="false" ht="15" hidden="false" customHeight="false" outlineLevel="0" collapsed="false">
      <c r="A16" s="2" t="s">
        <v>71</v>
      </c>
      <c r="B16" s="3" t="s">
        <v>72</v>
      </c>
      <c r="C16" s="4" t="s">
        <v>73</v>
      </c>
      <c r="D16" s="4" t="n">
        <v>2475</v>
      </c>
      <c r="E16" s="4" t="n">
        <v>2800</v>
      </c>
      <c r="F16" s="3" t="s">
        <v>74</v>
      </c>
      <c r="G16" s="2" t="s">
        <v>13</v>
      </c>
      <c r="H16" s="3"/>
      <c r="I16" s="5" t="n">
        <f aca="false">IF(OR(E16="",D16=""),"",E16/D16-1)</f>
        <v>0.131313131313131</v>
      </c>
    </row>
    <row r="17" customFormat="false" ht="15" hidden="false" customHeight="false" outlineLevel="0" collapsed="false">
      <c r="A17" s="2" t="s">
        <v>75</v>
      </c>
      <c r="B17" s="3" t="s">
        <v>76</v>
      </c>
      <c r="C17" s="4" t="s">
        <v>77</v>
      </c>
      <c r="D17" s="4" t="n">
        <v>1650</v>
      </c>
      <c r="E17" s="4" t="n">
        <v>1785</v>
      </c>
      <c r="F17" s="3" t="s">
        <v>78</v>
      </c>
      <c r="G17" s="2" t="s">
        <v>13</v>
      </c>
      <c r="H17" s="3"/>
      <c r="I17" s="5" t="n">
        <f aca="false">IF(OR(E17="",D17=""),"",E17/D17-1)</f>
        <v>0.0818181818181818</v>
      </c>
    </row>
    <row r="18" customFormat="false" ht="23.85" hidden="false" customHeight="false" outlineLevel="0" collapsed="false">
      <c r="A18" s="2" t="s">
        <v>79</v>
      </c>
      <c r="B18" s="3" t="s">
        <v>80</v>
      </c>
      <c r="C18" s="4" t="s">
        <v>81</v>
      </c>
      <c r="D18" s="4" t="n">
        <v>1935</v>
      </c>
      <c r="E18" s="4" t="n">
        <v>2200</v>
      </c>
      <c r="F18" s="3" t="s">
        <v>82</v>
      </c>
      <c r="G18" s="2" t="s">
        <v>13</v>
      </c>
      <c r="H18" s="3" t="s">
        <v>83</v>
      </c>
      <c r="I18" s="5" t="n">
        <f aca="false">IF(OR(E18="",D18=""),"",E18/D18-1)</f>
        <v>0.136950904392765</v>
      </c>
    </row>
    <row r="19" customFormat="false" ht="15" hidden="false" customHeight="false" outlineLevel="0" collapsed="false">
      <c r="A19" s="2" t="s">
        <v>84</v>
      </c>
      <c r="B19" s="3" t="s">
        <v>85</v>
      </c>
      <c r="C19" s="4" t="s">
        <v>86</v>
      </c>
      <c r="D19" s="4" t="n">
        <v>2090</v>
      </c>
      <c r="E19" s="4" t="n">
        <v>2300</v>
      </c>
      <c r="F19" s="3" t="s">
        <v>87</v>
      </c>
      <c r="G19" s="2" t="s">
        <v>13</v>
      </c>
      <c r="H19" s="3"/>
      <c r="I19" s="5" t="n">
        <f aca="false">IF(OR(E19="",D19=""),"",E19/D19-1)</f>
        <v>0.100478468899522</v>
      </c>
    </row>
    <row r="20" customFormat="false" ht="15" hidden="false" customHeight="false" outlineLevel="0" collapsed="false">
      <c r="A20" s="2" t="s">
        <v>88</v>
      </c>
      <c r="B20" s="3" t="s">
        <v>89</v>
      </c>
      <c r="C20" s="4" t="s">
        <v>90</v>
      </c>
      <c r="D20" s="4"/>
      <c r="E20" s="4" t="n">
        <v>185</v>
      </c>
      <c r="F20" s="3" t="s">
        <v>91</v>
      </c>
      <c r="G20" s="2" t="s">
        <v>13</v>
      </c>
      <c r="H20" s="3"/>
      <c r="I20" s="5" t="str">
        <f aca="false">IF(OR(E20="",D20=""),"",E20/D20-1)</f>
        <v/>
      </c>
    </row>
    <row r="21" customFormat="false" ht="15" hidden="false" customHeight="false" outlineLevel="0" collapsed="false">
      <c r="A21" s="2" t="s">
        <v>92</v>
      </c>
      <c r="B21" s="3" t="s">
        <v>93</v>
      </c>
      <c r="C21" s="4" t="s">
        <v>94</v>
      </c>
      <c r="D21" s="4" t="n">
        <v>2475</v>
      </c>
      <c r="E21" s="4" t="n">
        <v>2775</v>
      </c>
      <c r="F21" s="3" t="s">
        <v>95</v>
      </c>
      <c r="G21" s="2" t="s">
        <v>13</v>
      </c>
      <c r="H21" s="3"/>
      <c r="I21" s="5" t="n">
        <f aca="false">IF(OR(E21="",D21=""),"",E21/D21-1)</f>
        <v>0.121212121212121</v>
      </c>
    </row>
    <row r="22" customFormat="false" ht="15" hidden="false" customHeight="false" outlineLevel="0" collapsed="false">
      <c r="A22" s="2" t="s">
        <v>96</v>
      </c>
      <c r="B22" s="3" t="s">
        <v>97</v>
      </c>
      <c r="C22" s="4" t="s">
        <v>98</v>
      </c>
      <c r="D22" s="4" t="n">
        <v>2650</v>
      </c>
      <c r="E22" s="4" t="n">
        <v>2925</v>
      </c>
      <c r="F22" s="3" t="s">
        <v>99</v>
      </c>
      <c r="G22" s="2" t="s">
        <v>13</v>
      </c>
      <c r="H22" s="3"/>
      <c r="I22" s="5" t="n">
        <f aca="false">IF(OR(E22="",D22=""),"",E22/D22-1)</f>
        <v>0.10377358490566</v>
      </c>
    </row>
    <row r="23" customFormat="false" ht="15" hidden="false" customHeight="false" outlineLevel="0" collapsed="false">
      <c r="A23" s="2" t="s">
        <v>100</v>
      </c>
      <c r="B23" s="3" t="s">
        <v>101</v>
      </c>
      <c r="C23" s="4" t="s">
        <v>102</v>
      </c>
      <c r="D23" s="4" t="n">
        <v>2900</v>
      </c>
      <c r="E23" s="4" t="n">
        <v>3200</v>
      </c>
      <c r="F23" s="3" t="s">
        <v>103</v>
      </c>
      <c r="G23" s="2" t="s">
        <v>13</v>
      </c>
      <c r="H23" s="3"/>
      <c r="I23" s="5" t="n">
        <f aca="false">IF(OR(E23="",D23=""),"",E23/D23-1)</f>
        <v>0.103448275862069</v>
      </c>
    </row>
    <row r="24" customFormat="false" ht="15" hidden="false" customHeight="false" outlineLevel="0" collapsed="false">
      <c r="A24" s="2" t="s">
        <v>104</v>
      </c>
      <c r="B24" s="3" t="s">
        <v>105</v>
      </c>
      <c r="C24" s="4" t="s">
        <v>106</v>
      </c>
      <c r="D24" s="4" t="n">
        <v>3395</v>
      </c>
      <c r="E24" s="4" t="n">
        <v>3750</v>
      </c>
      <c r="F24" s="3" t="s">
        <v>107</v>
      </c>
      <c r="G24" s="2" t="s">
        <v>13</v>
      </c>
      <c r="H24" s="3"/>
      <c r="I24" s="5" t="n">
        <f aca="false">IF(OR(E24="",D24=""),"",E24/D24-1)</f>
        <v>0.104565537555228</v>
      </c>
    </row>
    <row r="25" customFormat="false" ht="15" hidden="false" customHeight="false" outlineLevel="0" collapsed="false">
      <c r="A25" s="2" t="s">
        <v>108</v>
      </c>
      <c r="B25" s="3" t="s">
        <v>109</v>
      </c>
      <c r="C25" s="4" t="s">
        <v>110</v>
      </c>
      <c r="D25" s="4" t="n">
        <v>3045</v>
      </c>
      <c r="E25" s="4" t="n">
        <v>3350</v>
      </c>
      <c r="F25" s="3" t="s">
        <v>111</v>
      </c>
      <c r="G25" s="2" t="s">
        <v>13</v>
      </c>
      <c r="H25" s="3"/>
      <c r="I25" s="5" t="n">
        <f aca="false">IF(OR(E25="",D25=""),"",E25/D25-1)</f>
        <v>0.100164203612479</v>
      </c>
    </row>
    <row r="26" customFormat="false" ht="15" hidden="false" customHeight="false" outlineLevel="0" collapsed="false">
      <c r="A26" s="2" t="s">
        <v>112</v>
      </c>
      <c r="B26" s="3" t="s">
        <v>113</v>
      </c>
      <c r="C26" s="4" t="s">
        <v>114</v>
      </c>
      <c r="D26" s="4" t="n">
        <v>3080</v>
      </c>
      <c r="E26" s="4" t="n">
        <v>3390</v>
      </c>
      <c r="F26" s="3" t="s">
        <v>115</v>
      </c>
      <c r="G26" s="2" t="s">
        <v>13</v>
      </c>
      <c r="H26" s="3"/>
      <c r="I26" s="5" t="n">
        <f aca="false">IF(OR(E26="",D26=""),"",E26/D26-1)</f>
        <v>0.100649350649351</v>
      </c>
    </row>
    <row r="27" customFormat="false" ht="15" hidden="false" customHeight="false" outlineLevel="0" collapsed="false">
      <c r="A27" s="2" t="s">
        <v>116</v>
      </c>
      <c r="B27" s="3" t="s">
        <v>117</v>
      </c>
      <c r="C27" s="4" t="s">
        <v>118</v>
      </c>
      <c r="D27" s="4" t="n">
        <v>2695</v>
      </c>
      <c r="E27" s="4" t="n">
        <v>3000</v>
      </c>
      <c r="F27" s="3" t="s">
        <v>119</v>
      </c>
      <c r="G27" s="2" t="s">
        <v>13</v>
      </c>
      <c r="H27" s="3"/>
      <c r="I27" s="5" t="n">
        <f aca="false">IF(OR(E27="",D27=""),"",E27/D27-1)</f>
        <v>0.11317254174397</v>
      </c>
    </row>
    <row r="28" customFormat="false" ht="15" hidden="false" customHeight="false" outlineLevel="0" collapsed="false">
      <c r="A28" s="2" t="s">
        <v>120</v>
      </c>
      <c r="B28" s="3" t="s">
        <v>121</v>
      </c>
      <c r="C28" s="4" t="s">
        <v>122</v>
      </c>
      <c r="D28" s="4" t="n">
        <v>3290</v>
      </c>
      <c r="E28" s="4" t="n">
        <v>3625</v>
      </c>
      <c r="F28" s="3" t="s">
        <v>123</v>
      </c>
      <c r="G28" s="2" t="s">
        <v>13</v>
      </c>
      <c r="H28" s="3"/>
      <c r="I28" s="5" t="n">
        <f aca="false">IF(OR(E28="",D28=""),"",E28/D28-1)</f>
        <v>0.101823708206687</v>
      </c>
    </row>
    <row r="29" customFormat="false" ht="15" hidden="false" customHeight="false" outlineLevel="0" collapsed="false">
      <c r="A29" s="2" t="s">
        <v>124</v>
      </c>
      <c r="B29" s="3" t="s">
        <v>125</v>
      </c>
      <c r="C29" s="4" t="s">
        <v>126</v>
      </c>
      <c r="D29" s="4" t="n">
        <v>2970</v>
      </c>
      <c r="E29" s="4" t="n">
        <v>3295</v>
      </c>
      <c r="F29" s="3" t="s">
        <v>127</v>
      </c>
      <c r="G29" s="2" t="s">
        <v>13</v>
      </c>
      <c r="H29" s="3"/>
      <c r="I29" s="5" t="n">
        <f aca="false">IF(OR(E29="",D29=""),"",E29/D29-1)</f>
        <v>0.109427609427609</v>
      </c>
    </row>
    <row r="30" customFormat="false" ht="15" hidden="false" customHeight="false" outlineLevel="0" collapsed="false">
      <c r="A30" s="2" t="s">
        <v>128</v>
      </c>
      <c r="B30" s="3" t="s">
        <v>129</v>
      </c>
      <c r="C30" s="4" t="s">
        <v>130</v>
      </c>
      <c r="D30" s="4" t="n">
        <v>3095</v>
      </c>
      <c r="E30" s="4" t="n">
        <v>3500</v>
      </c>
      <c r="F30" s="3" t="s">
        <v>131</v>
      </c>
      <c r="G30" s="2" t="s">
        <v>13</v>
      </c>
      <c r="H30" s="3"/>
      <c r="I30" s="5" t="n">
        <f aca="false">IF(OR(E30="",D30=""),"",E30/D30-1)</f>
        <v>0.130856219709208</v>
      </c>
    </row>
    <row r="31" customFormat="false" ht="15" hidden="false" customHeight="false" outlineLevel="0" collapsed="false">
      <c r="A31" s="2" t="s">
        <v>132</v>
      </c>
      <c r="B31" s="3" t="s">
        <v>133</v>
      </c>
      <c r="C31" s="4" t="s">
        <v>134</v>
      </c>
      <c r="D31" s="4" t="n">
        <v>3570</v>
      </c>
      <c r="E31" s="4" t="n">
        <v>3925</v>
      </c>
      <c r="F31" s="3" t="s">
        <v>135</v>
      </c>
      <c r="G31" s="2" t="s">
        <v>13</v>
      </c>
      <c r="H31" s="3"/>
      <c r="I31" s="5" t="n">
        <f aca="false">IF(OR(E31="",D31=""),"",E31/D31-1)</f>
        <v>0.0994397759103642</v>
      </c>
    </row>
    <row r="32" customFormat="false" ht="15" hidden="false" customHeight="false" outlineLevel="0" collapsed="false">
      <c r="A32" s="2" t="s">
        <v>136</v>
      </c>
      <c r="B32" s="3" t="s">
        <v>137</v>
      </c>
      <c r="C32" s="4" t="s">
        <v>138</v>
      </c>
      <c r="D32" s="4" t="n">
        <v>3635</v>
      </c>
      <c r="E32" s="4" t="n">
        <v>4000</v>
      </c>
      <c r="F32" s="3" t="s">
        <v>139</v>
      </c>
      <c r="G32" s="2" t="s">
        <v>13</v>
      </c>
      <c r="H32" s="3"/>
      <c r="I32" s="5" t="n">
        <f aca="false">IF(OR(E32="",D32=""),"",E32/D32-1)</f>
        <v>0.10041265474553</v>
      </c>
    </row>
    <row r="33" customFormat="false" ht="15" hidden="false" customHeight="false" outlineLevel="0" collapsed="false">
      <c r="A33" s="6" t="s">
        <v>140</v>
      </c>
      <c r="B33" s="7" t="s">
        <v>141</v>
      </c>
      <c r="C33" s="8" t="s">
        <v>142</v>
      </c>
      <c r="D33" s="8" t="n">
        <v>3480</v>
      </c>
      <c r="E33" s="8"/>
      <c r="F33" s="7"/>
      <c r="G33" s="6" t="s">
        <v>18</v>
      </c>
      <c r="H33" s="7" t="s">
        <v>143</v>
      </c>
      <c r="I33" s="9" t="str">
        <f aca="false">IF(OR(E33="",D33=""),"",E33/D33-1)</f>
        <v/>
      </c>
    </row>
    <row r="34" customFormat="false" ht="15" hidden="false" customHeight="false" outlineLevel="0" collapsed="false">
      <c r="A34" s="2" t="s">
        <v>144</v>
      </c>
      <c r="B34" s="3" t="s">
        <v>145</v>
      </c>
      <c r="C34" s="4" t="s">
        <v>146</v>
      </c>
      <c r="D34" s="4" t="n">
        <v>4190</v>
      </c>
      <c r="E34" s="4" t="n">
        <v>4610</v>
      </c>
      <c r="F34" s="3" t="s">
        <v>147</v>
      </c>
      <c r="G34" s="2" t="s">
        <v>13</v>
      </c>
      <c r="H34" s="3"/>
      <c r="I34" s="5" t="n">
        <f aca="false">IF(OR(E34="",D34=""),"",E34/D34-1)</f>
        <v>0.100238663484487</v>
      </c>
    </row>
    <row r="35" customFormat="false" ht="15" hidden="false" customHeight="false" outlineLevel="0" collapsed="false">
      <c r="A35" s="2" t="s">
        <v>148</v>
      </c>
      <c r="B35" s="3" t="s">
        <v>149</v>
      </c>
      <c r="C35" s="4" t="s">
        <v>150</v>
      </c>
      <c r="D35" s="4" t="n">
        <v>4190</v>
      </c>
      <c r="E35" s="4" t="n">
        <v>4835</v>
      </c>
      <c r="F35" s="3" t="s">
        <v>151</v>
      </c>
      <c r="G35" s="2" t="s">
        <v>13</v>
      </c>
      <c r="H35" s="3"/>
      <c r="I35" s="5" t="n">
        <f aca="false">IF(OR(E35="",D35=""),"",E35/D35-1)</f>
        <v>0.153937947494033</v>
      </c>
    </row>
    <row r="36" customFormat="false" ht="15" hidden="false" customHeight="false" outlineLevel="0" collapsed="false">
      <c r="A36" s="2" t="s">
        <v>152</v>
      </c>
      <c r="B36" s="3" t="s">
        <v>153</v>
      </c>
      <c r="C36" s="4" t="s">
        <v>154</v>
      </c>
      <c r="D36" s="4" t="n">
        <v>3500</v>
      </c>
      <c r="E36" s="4" t="n">
        <v>4000</v>
      </c>
      <c r="F36" s="3" t="s">
        <v>155</v>
      </c>
      <c r="G36" s="2" t="s">
        <v>13</v>
      </c>
      <c r="H36" s="3"/>
      <c r="I36" s="5" t="n">
        <f aca="false">IF(OR(E36="",D36=""),"",E36/D36-1)</f>
        <v>0.142857142857143</v>
      </c>
    </row>
    <row r="37" customFormat="false" ht="15" hidden="false" customHeight="false" outlineLevel="0" collapsed="false">
      <c r="A37" s="2" t="s">
        <v>156</v>
      </c>
      <c r="B37" s="3" t="s">
        <v>157</v>
      </c>
      <c r="C37" s="4" t="s">
        <v>158</v>
      </c>
      <c r="D37" s="4" t="n">
        <v>4575</v>
      </c>
      <c r="E37" s="4" t="n">
        <v>5100</v>
      </c>
      <c r="F37" s="3" t="s">
        <v>159</v>
      </c>
      <c r="G37" s="2" t="s">
        <v>13</v>
      </c>
      <c r="H37" s="3"/>
      <c r="I37" s="5" t="n">
        <f aca="false">IF(OR(E37="",D37=""),"",E37/D37-1)</f>
        <v>0.114754098360656</v>
      </c>
    </row>
    <row r="38" customFormat="false" ht="15" hidden="false" customHeight="false" outlineLevel="0" collapsed="false">
      <c r="A38" s="2" t="s">
        <v>160</v>
      </c>
      <c r="B38" s="3" t="s">
        <v>161</v>
      </c>
      <c r="C38" s="4" t="s">
        <v>162</v>
      </c>
      <c r="D38" s="4" t="n">
        <v>3750</v>
      </c>
      <c r="E38" s="4" t="n">
        <v>4250</v>
      </c>
      <c r="F38" s="3" t="s">
        <v>163</v>
      </c>
      <c r="G38" s="2" t="s">
        <v>13</v>
      </c>
      <c r="H38" s="3"/>
      <c r="I38" s="5" t="n">
        <f aca="false">IF(OR(E38="",D38=""),"",E38/D38-1)</f>
        <v>0.133333333333333</v>
      </c>
    </row>
    <row r="39" customFormat="false" ht="15" hidden="false" customHeight="false" outlineLevel="0" collapsed="false">
      <c r="A39" s="2" t="s">
        <v>164</v>
      </c>
      <c r="B39" s="3" t="s">
        <v>165</v>
      </c>
      <c r="C39" s="4" t="s">
        <v>166</v>
      </c>
      <c r="D39" s="4" t="n">
        <v>4800</v>
      </c>
      <c r="E39" s="4" t="n">
        <v>5300</v>
      </c>
      <c r="F39" s="3" t="s">
        <v>167</v>
      </c>
      <c r="G39" s="2" t="s">
        <v>13</v>
      </c>
      <c r="H39" s="3"/>
      <c r="I39" s="5" t="n">
        <f aca="false">IF(OR(E39="",D39=""),"",E39/D39-1)</f>
        <v>0.104166666666667</v>
      </c>
    </row>
    <row r="40" customFormat="false" ht="15" hidden="false" customHeight="false" outlineLevel="0" collapsed="false">
      <c r="A40" s="2" t="s">
        <v>168</v>
      </c>
      <c r="B40" s="3" t="s">
        <v>169</v>
      </c>
      <c r="C40" s="4" t="s">
        <v>170</v>
      </c>
      <c r="D40" s="4" t="n">
        <v>4410</v>
      </c>
      <c r="E40" s="4" t="n">
        <v>5000</v>
      </c>
      <c r="F40" s="3" t="s">
        <v>171</v>
      </c>
      <c r="G40" s="2" t="s">
        <v>13</v>
      </c>
      <c r="H40" s="3"/>
      <c r="I40" s="5" t="n">
        <f aca="false">IF(OR(E40="",D40=""),"",E40/D40-1)</f>
        <v>0.133786848072562</v>
      </c>
    </row>
    <row r="41" customFormat="false" ht="15" hidden="false" customHeight="false" outlineLevel="0" collapsed="false">
      <c r="A41" s="2" t="s">
        <v>172</v>
      </c>
      <c r="B41" s="3" t="s">
        <v>173</v>
      </c>
      <c r="C41" s="4" t="s">
        <v>174</v>
      </c>
      <c r="D41" s="4" t="n">
        <v>4410</v>
      </c>
      <c r="E41" s="4" t="n">
        <v>4850</v>
      </c>
      <c r="F41" s="3" t="s">
        <v>175</v>
      </c>
      <c r="G41" s="2" t="s">
        <v>13</v>
      </c>
      <c r="H41" s="3"/>
      <c r="I41" s="5" t="n">
        <f aca="false">IF(OR(E41="",D41=""),"",E41/D41-1)</f>
        <v>0.0997732426303855</v>
      </c>
    </row>
    <row r="42" customFormat="false" ht="15" hidden="false" customHeight="false" outlineLevel="0" collapsed="false">
      <c r="A42" s="2" t="s">
        <v>176</v>
      </c>
      <c r="B42" s="3" t="s">
        <v>177</v>
      </c>
      <c r="C42" s="4" t="s">
        <v>178</v>
      </c>
      <c r="D42" s="4" t="n">
        <v>4785</v>
      </c>
      <c r="E42" s="4" t="n">
        <v>5270</v>
      </c>
      <c r="F42" s="3" t="s">
        <v>179</v>
      </c>
      <c r="G42" s="2" t="s">
        <v>13</v>
      </c>
      <c r="H42" s="3"/>
      <c r="I42" s="5" t="n">
        <f aca="false">IF(OR(E42="",D42=""),"",E42/D42-1)</f>
        <v>0.101358411703239</v>
      </c>
    </row>
    <row r="43" customFormat="false" ht="15" hidden="false" customHeight="false" outlineLevel="0" collapsed="false">
      <c r="A43" s="2" t="s">
        <v>180</v>
      </c>
      <c r="B43" s="3" t="s">
        <v>181</v>
      </c>
      <c r="C43" s="4" t="s">
        <v>182</v>
      </c>
      <c r="D43" s="4" t="n">
        <v>4615</v>
      </c>
      <c r="E43" s="4" t="n">
        <v>5200</v>
      </c>
      <c r="F43" s="3" t="s">
        <v>183</v>
      </c>
      <c r="G43" s="2" t="s">
        <v>13</v>
      </c>
      <c r="H43" s="3"/>
      <c r="I43" s="5" t="n">
        <f aca="false">IF(OR(E43="",D43=""),"",E43/D43-1)</f>
        <v>0.126760563380282</v>
      </c>
    </row>
    <row r="44" customFormat="false" ht="15" hidden="false" customHeight="false" outlineLevel="0" collapsed="false">
      <c r="A44" s="2" t="s">
        <v>184</v>
      </c>
      <c r="B44" s="3" t="s">
        <v>185</v>
      </c>
      <c r="C44" s="4" t="s">
        <v>186</v>
      </c>
      <c r="D44" s="4" t="n">
        <v>5240</v>
      </c>
      <c r="E44" s="4" t="n">
        <v>5870</v>
      </c>
      <c r="F44" s="3" t="s">
        <v>187</v>
      </c>
      <c r="G44" s="2" t="s">
        <v>13</v>
      </c>
      <c r="H44" s="3"/>
      <c r="I44" s="5" t="n">
        <f aca="false">IF(OR(E44="",D44=""),"",E44/D44-1)</f>
        <v>0.120229007633588</v>
      </c>
    </row>
    <row r="45" customFormat="false" ht="15" hidden="false" customHeight="false" outlineLevel="0" collapsed="false">
      <c r="A45" s="2" t="s">
        <v>188</v>
      </c>
      <c r="B45" s="3" t="s">
        <v>189</v>
      </c>
      <c r="C45" s="4" t="s">
        <v>190</v>
      </c>
      <c r="D45" s="4" t="n">
        <v>4935</v>
      </c>
      <c r="E45" s="4" t="n">
        <v>5450</v>
      </c>
      <c r="F45" s="3" t="s">
        <v>191</v>
      </c>
      <c r="G45" s="2" t="s">
        <v>13</v>
      </c>
      <c r="H45" s="3"/>
      <c r="I45" s="5" t="n">
        <f aca="false">IF(OR(E45="",D45=""),"",E45/D45-1)</f>
        <v>0.10435663627153</v>
      </c>
    </row>
    <row r="46" customFormat="false" ht="15" hidden="false" customHeight="false" outlineLevel="0" collapsed="false">
      <c r="A46" s="2" t="s">
        <v>192</v>
      </c>
      <c r="B46" s="3" t="s">
        <v>193</v>
      </c>
      <c r="C46" s="4" t="s">
        <v>194</v>
      </c>
      <c r="D46" s="4" t="n">
        <v>5845</v>
      </c>
      <c r="E46" s="4" t="n">
        <v>6450</v>
      </c>
      <c r="F46" s="3" t="s">
        <v>195</v>
      </c>
      <c r="G46" s="2" t="s">
        <v>13</v>
      </c>
      <c r="H46" s="3"/>
      <c r="I46" s="5" t="n">
        <f aca="false">IF(OR(E46="",D46=""),"",E46/D46-1)</f>
        <v>0.103507271171942</v>
      </c>
    </row>
    <row r="47" customFormat="false" ht="15" hidden="false" customHeight="false" outlineLevel="0" collapsed="false">
      <c r="A47" s="2" t="s">
        <v>196</v>
      </c>
      <c r="B47" s="3" t="s">
        <v>197</v>
      </c>
      <c r="C47" s="4" t="s">
        <v>198</v>
      </c>
      <c r="D47" s="4" t="n">
        <v>5650</v>
      </c>
      <c r="E47" s="4" t="n">
        <v>6500</v>
      </c>
      <c r="F47" s="3" t="s">
        <v>199</v>
      </c>
      <c r="G47" s="2" t="s">
        <v>13</v>
      </c>
      <c r="H47" s="3"/>
      <c r="I47" s="5" t="n">
        <f aca="false">IF(OR(E47="",D47=""),"",E47/D47-1)</f>
        <v>0.150442477876106</v>
      </c>
    </row>
    <row r="48" customFormat="false" ht="15" hidden="false" customHeight="false" outlineLevel="0" collapsed="false">
      <c r="A48" s="2" t="s">
        <v>200</v>
      </c>
      <c r="B48" s="3" t="s">
        <v>201</v>
      </c>
      <c r="C48" s="4" t="s">
        <v>202</v>
      </c>
      <c r="D48" s="4" t="n">
        <v>1440</v>
      </c>
      <c r="E48" s="4" t="n">
        <v>1585</v>
      </c>
      <c r="F48" s="3" t="s">
        <v>203</v>
      </c>
      <c r="G48" s="2" t="s">
        <v>13</v>
      </c>
      <c r="H48" s="3"/>
      <c r="I48" s="5" t="n">
        <f aca="false">IF(OR(E48="",D48=""),"",E48/D48-1)</f>
        <v>0.100694444444444</v>
      </c>
    </row>
    <row r="49" customFormat="false" ht="15" hidden="false" customHeight="false" outlineLevel="0" collapsed="false">
      <c r="A49" s="2" t="s">
        <v>204</v>
      </c>
      <c r="B49" s="3" t="s">
        <v>205</v>
      </c>
      <c r="C49" s="4" t="s">
        <v>206</v>
      </c>
      <c r="D49" s="4" t="n">
        <v>1555</v>
      </c>
      <c r="E49" s="4" t="n">
        <v>1725</v>
      </c>
      <c r="F49" s="3" t="s">
        <v>207</v>
      </c>
      <c r="G49" s="2" t="s">
        <v>13</v>
      </c>
      <c r="H49" s="3"/>
      <c r="I49" s="5" t="n">
        <f aca="false">IF(OR(E49="",D49=""),"",E49/D49-1)</f>
        <v>0.109324758842444</v>
      </c>
    </row>
    <row r="50" customFormat="false" ht="15" hidden="false" customHeight="false" outlineLevel="0" collapsed="false">
      <c r="A50" s="2" t="s">
        <v>208</v>
      </c>
      <c r="B50" s="3" t="s">
        <v>209</v>
      </c>
      <c r="C50" s="4" t="s">
        <v>210</v>
      </c>
      <c r="D50" s="4"/>
      <c r="E50" s="4" t="n">
        <v>12300</v>
      </c>
      <c r="F50" s="3" t="s">
        <v>211</v>
      </c>
      <c r="G50" s="2" t="s">
        <v>13</v>
      </c>
      <c r="H50" s="3"/>
      <c r="I50" s="5" t="str">
        <f aca="false">IF(OR(E50="",D50=""),"",E50/D50-1)</f>
        <v/>
      </c>
    </row>
    <row r="51" customFormat="false" ht="15" hidden="false" customHeight="false" outlineLevel="0" collapsed="false">
      <c r="A51" s="2" t="s">
        <v>212</v>
      </c>
      <c r="B51" s="3" t="s">
        <v>213</v>
      </c>
      <c r="C51" s="4" t="s">
        <v>214</v>
      </c>
      <c r="D51" s="4"/>
      <c r="E51" s="4" t="n">
        <v>14500</v>
      </c>
      <c r="F51" s="3" t="s">
        <v>215</v>
      </c>
      <c r="G51" s="2" t="s">
        <v>13</v>
      </c>
      <c r="H51" s="3"/>
      <c r="I51" s="5" t="str">
        <f aca="false">IF(OR(E51="",D51=""),"",E51/D51-1)</f>
        <v/>
      </c>
    </row>
    <row r="52" customFormat="false" ht="15" hidden="false" customHeight="false" outlineLevel="0" collapsed="false">
      <c r="A52" s="2" t="s">
        <v>216</v>
      </c>
      <c r="B52" s="3" t="s">
        <v>217</v>
      </c>
      <c r="C52" s="4" t="s">
        <v>218</v>
      </c>
      <c r="D52" s="4"/>
      <c r="E52" s="4" t="n">
        <v>16500</v>
      </c>
      <c r="F52" s="3" t="s">
        <v>219</v>
      </c>
      <c r="G52" s="2" t="s">
        <v>13</v>
      </c>
      <c r="H52" s="3"/>
      <c r="I52" s="5" t="str">
        <f aca="false">IF(OR(E52="",D52=""),"",E52/D52-1)</f>
        <v/>
      </c>
    </row>
    <row r="53" customFormat="false" ht="15" hidden="false" customHeight="false" outlineLevel="0" collapsed="false">
      <c r="A53" s="2" t="s">
        <v>220</v>
      </c>
      <c r="B53" s="3" t="s">
        <v>221</v>
      </c>
      <c r="C53" s="4" t="s">
        <v>222</v>
      </c>
      <c r="D53" s="4"/>
      <c r="E53" s="4" t="n">
        <v>19950</v>
      </c>
      <c r="F53" s="3" t="s">
        <v>223</v>
      </c>
      <c r="G53" s="2" t="s">
        <v>13</v>
      </c>
      <c r="H53" s="3"/>
      <c r="I53" s="5" t="str">
        <f aca="false">IF(OR(E53="",D53=""),"",E53/D53-1)</f>
        <v/>
      </c>
    </row>
    <row r="54" customFormat="false" ht="15" hidden="false" customHeight="false" outlineLevel="0" collapsed="false">
      <c r="A54" s="2" t="s">
        <v>224</v>
      </c>
      <c r="B54" s="3" t="s">
        <v>225</v>
      </c>
      <c r="C54" s="4" t="s">
        <v>226</v>
      </c>
      <c r="D54" s="4"/>
      <c r="E54" s="4" t="n">
        <v>22550</v>
      </c>
      <c r="F54" s="3" t="s">
        <v>227</v>
      </c>
      <c r="G54" s="2" t="s">
        <v>13</v>
      </c>
      <c r="H54" s="3"/>
      <c r="I54" s="5" t="str">
        <f aca="false">IF(OR(E54="",D54=""),"",E54/D54-1)</f>
        <v/>
      </c>
    </row>
    <row r="55" customFormat="false" ht="15" hidden="false" customHeight="false" outlineLevel="0" collapsed="false">
      <c r="A55" s="2" t="s">
        <v>228</v>
      </c>
      <c r="B55" s="3" t="s">
        <v>229</v>
      </c>
      <c r="C55" s="4" t="s">
        <v>230</v>
      </c>
      <c r="D55" s="4"/>
      <c r="E55" s="4" t="n">
        <v>25500</v>
      </c>
      <c r="F55" s="3" t="s">
        <v>231</v>
      </c>
      <c r="G55" s="2" t="s">
        <v>13</v>
      </c>
      <c r="H55" s="3"/>
      <c r="I55" s="5" t="str">
        <f aca="false">IF(OR(E55="",D55=""),"",E55/D55-1)</f>
        <v/>
      </c>
    </row>
    <row r="56" customFormat="false" ht="15" hidden="false" customHeight="false" outlineLevel="0" collapsed="false">
      <c r="A56" s="2" t="s">
        <v>232</v>
      </c>
      <c r="B56" s="3" t="s">
        <v>233</v>
      </c>
      <c r="C56" s="4" t="s">
        <v>234</v>
      </c>
      <c r="D56" s="4"/>
      <c r="E56" s="4" t="n">
        <v>30975</v>
      </c>
      <c r="F56" s="3" t="s">
        <v>235</v>
      </c>
      <c r="G56" s="2" t="s">
        <v>13</v>
      </c>
      <c r="H56" s="3"/>
      <c r="I56" s="5" t="str">
        <f aca="false">IF(OR(E56="",D56=""),"",E56/D56-1)</f>
        <v/>
      </c>
    </row>
    <row r="57" customFormat="false" ht="15" hidden="false" customHeight="false" outlineLevel="0" collapsed="false">
      <c r="A57" s="2" t="s">
        <v>236</v>
      </c>
      <c r="B57" s="3" t="s">
        <v>237</v>
      </c>
      <c r="C57" s="4" t="s">
        <v>238</v>
      </c>
      <c r="D57" s="4"/>
      <c r="E57" s="4" t="n">
        <v>11800</v>
      </c>
      <c r="F57" s="3" t="s">
        <v>239</v>
      </c>
      <c r="G57" s="2" t="s">
        <v>13</v>
      </c>
      <c r="H57" s="3"/>
      <c r="I57" s="5" t="str">
        <f aca="false">IF(OR(E57="",D57=""),"",E57/D57-1)</f>
        <v/>
      </c>
    </row>
    <row r="58" customFormat="false" ht="23.85" hidden="false" customHeight="false" outlineLevel="0" collapsed="false">
      <c r="A58" s="6" t="s">
        <v>240</v>
      </c>
      <c r="B58" s="7" t="s">
        <v>241</v>
      </c>
      <c r="C58" s="8" t="s">
        <v>242</v>
      </c>
      <c r="D58" s="8"/>
      <c r="E58" s="8" t="n">
        <v>1425</v>
      </c>
      <c r="F58" s="7" t="s">
        <v>243</v>
      </c>
      <c r="G58" s="6" t="s">
        <v>38</v>
      </c>
      <c r="H58" s="7" t="s">
        <v>244</v>
      </c>
      <c r="I58" s="9" t="str">
        <f aca="false">IF(OR(E58="",D58=""),"",E58/D58-1)</f>
        <v/>
      </c>
    </row>
    <row r="59" customFormat="false" ht="23.85" hidden="false" customHeight="false" outlineLevel="0" collapsed="false">
      <c r="A59" s="2" t="s">
        <v>245</v>
      </c>
      <c r="B59" s="3" t="s">
        <v>246</v>
      </c>
      <c r="C59" s="4" t="s">
        <v>247</v>
      </c>
      <c r="D59" s="4"/>
      <c r="E59" s="4" t="n">
        <v>300</v>
      </c>
      <c r="F59" s="3" t="s">
        <v>248</v>
      </c>
      <c r="G59" s="2" t="s">
        <v>13</v>
      </c>
      <c r="H59" s="3"/>
      <c r="I59" s="5" t="str">
        <f aca="false">IF(OR(E59="",D59=""),"",E59/D59-1)</f>
        <v/>
      </c>
    </row>
    <row r="60" customFormat="false" ht="23.85" hidden="false" customHeight="false" outlineLevel="0" collapsed="false">
      <c r="A60" s="2" t="s">
        <v>249</v>
      </c>
      <c r="B60" s="3" t="s">
        <v>250</v>
      </c>
      <c r="C60" s="4" t="s">
        <v>251</v>
      </c>
      <c r="D60" s="4"/>
      <c r="E60" s="4" t="n">
        <v>1600</v>
      </c>
      <c r="F60" s="3" t="s">
        <v>252</v>
      </c>
      <c r="G60" s="2" t="s">
        <v>24</v>
      </c>
      <c r="H60" s="3" t="s">
        <v>253</v>
      </c>
      <c r="I60" s="5" t="str">
        <f aca="false">IF(OR(E60="",D60=""),"",E60/D60-1)</f>
        <v/>
      </c>
    </row>
    <row r="61" customFormat="false" ht="23.85" hidden="false" customHeight="false" outlineLevel="0" collapsed="false">
      <c r="A61" s="2" t="s">
        <v>254</v>
      </c>
      <c r="B61" s="3" t="s">
        <v>255</v>
      </c>
      <c r="C61" s="4" t="s">
        <v>256</v>
      </c>
      <c r="D61" s="4"/>
      <c r="E61" s="4" t="n">
        <v>1700</v>
      </c>
      <c r="F61" s="3" t="s">
        <v>257</v>
      </c>
      <c r="G61" s="2" t="s">
        <v>13</v>
      </c>
      <c r="H61" s="3"/>
      <c r="I61" s="5" t="str">
        <f aca="false">IF(OR(E61="",D61=""),"",E61/D61-1)</f>
        <v/>
      </c>
    </row>
    <row r="62" customFormat="false" ht="23.85" hidden="false" customHeight="false" outlineLevel="0" collapsed="false">
      <c r="A62" s="2" t="s">
        <v>258</v>
      </c>
      <c r="B62" s="3" t="s">
        <v>259</v>
      </c>
      <c r="C62" s="4" t="s">
        <v>260</v>
      </c>
      <c r="D62" s="4"/>
      <c r="E62" s="4" t="n">
        <v>1800</v>
      </c>
      <c r="F62" s="3" t="s">
        <v>261</v>
      </c>
      <c r="G62" s="2" t="s">
        <v>13</v>
      </c>
      <c r="H62" s="3"/>
      <c r="I62" s="5" t="str">
        <f aca="false">IF(OR(E62="",D62=""),"",E62/D62-1)</f>
        <v/>
      </c>
    </row>
    <row r="63" customFormat="false" ht="15" hidden="false" customHeight="false" outlineLevel="0" collapsed="false">
      <c r="A63" s="2" t="s">
        <v>262</v>
      </c>
      <c r="B63" s="3" t="s">
        <v>263</v>
      </c>
      <c r="C63" s="4" t="s">
        <v>264</v>
      </c>
      <c r="D63" s="4" t="n">
        <v>3190</v>
      </c>
      <c r="E63" s="4" t="n">
        <v>3510</v>
      </c>
      <c r="F63" s="3" t="s">
        <v>265</v>
      </c>
      <c r="G63" s="2" t="s">
        <v>13</v>
      </c>
      <c r="H63" s="3"/>
      <c r="I63" s="5" t="n">
        <f aca="false">IF(OR(E63="",D63=""),"",E63/D63-1)</f>
        <v>0.100313479623825</v>
      </c>
    </row>
    <row r="64" customFormat="false" ht="15" hidden="false" customHeight="false" outlineLevel="0" collapsed="false">
      <c r="A64" s="2" t="s">
        <v>266</v>
      </c>
      <c r="B64" s="3" t="s">
        <v>267</v>
      </c>
      <c r="C64" s="4" t="s">
        <v>268</v>
      </c>
      <c r="D64" s="4" t="n">
        <v>3660</v>
      </c>
      <c r="E64" s="4" t="n">
        <v>3925</v>
      </c>
      <c r="F64" s="3" t="s">
        <v>269</v>
      </c>
      <c r="G64" s="2" t="s">
        <v>13</v>
      </c>
      <c r="H64" s="3"/>
      <c r="I64" s="5" t="n">
        <f aca="false">IF(OR(E64="",D64=""),"",E64/D64-1)</f>
        <v>0.0724043715846994</v>
      </c>
    </row>
    <row r="65" customFormat="false" ht="15" hidden="false" customHeight="false" outlineLevel="0" collapsed="false">
      <c r="A65" s="2" t="s">
        <v>270</v>
      </c>
      <c r="B65" s="3" t="s">
        <v>271</v>
      </c>
      <c r="C65" s="4" t="s">
        <v>272</v>
      </c>
      <c r="D65" s="4" t="n">
        <v>4205</v>
      </c>
      <c r="E65" s="4" t="n">
        <v>4625</v>
      </c>
      <c r="F65" s="3" t="s">
        <v>273</v>
      </c>
      <c r="G65" s="2" t="s">
        <v>13</v>
      </c>
      <c r="H65" s="3"/>
      <c r="I65" s="5" t="n">
        <f aca="false">IF(OR(E65="",D65=""),"",E65/D65-1)</f>
        <v>0.0998810939357908</v>
      </c>
    </row>
    <row r="66" customFormat="false" ht="15" hidden="false" customHeight="false" outlineLevel="0" collapsed="false">
      <c r="A66" s="2" t="s">
        <v>274</v>
      </c>
      <c r="B66" s="3" t="s">
        <v>275</v>
      </c>
      <c r="C66" s="4" t="s">
        <v>276</v>
      </c>
      <c r="D66" s="4" t="n">
        <v>4710</v>
      </c>
      <c r="E66" s="4" t="n">
        <v>5185</v>
      </c>
      <c r="F66" s="3" t="s">
        <v>277</v>
      </c>
      <c r="G66" s="2" t="s">
        <v>13</v>
      </c>
      <c r="H66" s="3"/>
      <c r="I66" s="5" t="n">
        <f aca="false">IF(OR(E66="",D66=""),"",E66/D66-1)</f>
        <v>0.100849256900212</v>
      </c>
    </row>
    <row r="67" customFormat="false" ht="15" hidden="false" customHeight="false" outlineLevel="0" collapsed="false">
      <c r="A67" s="2" t="s">
        <v>278</v>
      </c>
      <c r="B67" s="3" t="s">
        <v>279</v>
      </c>
      <c r="C67" s="4" t="s">
        <v>280</v>
      </c>
      <c r="D67" s="4" t="n">
        <v>5025</v>
      </c>
      <c r="E67" s="4" t="n">
        <v>5530</v>
      </c>
      <c r="F67" s="3" t="s">
        <v>281</v>
      </c>
      <c r="G67" s="2" t="s">
        <v>13</v>
      </c>
      <c r="H67" s="3"/>
      <c r="I67" s="5" t="n">
        <f aca="false">IF(OR(E67="",D67=""),"",E67/D67-1)</f>
        <v>0.100497512437811</v>
      </c>
    </row>
    <row r="68" customFormat="false" ht="15" hidden="false" customHeight="false" outlineLevel="0" collapsed="false">
      <c r="A68" s="2" t="s">
        <v>282</v>
      </c>
      <c r="B68" s="3" t="s">
        <v>283</v>
      </c>
      <c r="C68" s="4" t="s">
        <v>284</v>
      </c>
      <c r="D68" s="4" t="n">
        <v>6180</v>
      </c>
      <c r="E68" s="4" t="n">
        <v>6800</v>
      </c>
      <c r="F68" s="3" t="s">
        <v>285</v>
      </c>
      <c r="G68" s="2" t="s">
        <v>13</v>
      </c>
      <c r="H68" s="3"/>
      <c r="I68" s="5" t="n">
        <f aca="false">IF(OR(E68="",D68=""),"",E68/D68-1)</f>
        <v>0.100323624595469</v>
      </c>
    </row>
    <row r="69" customFormat="false" ht="15" hidden="false" customHeight="false" outlineLevel="0" collapsed="false">
      <c r="A69" s="2" t="s">
        <v>286</v>
      </c>
      <c r="B69" s="3" t="s">
        <v>287</v>
      </c>
      <c r="C69" s="4" t="s">
        <v>288</v>
      </c>
      <c r="D69" s="4" t="n">
        <v>4950</v>
      </c>
      <c r="E69" s="4" t="n">
        <v>5450</v>
      </c>
      <c r="F69" s="3" t="s">
        <v>289</v>
      </c>
      <c r="G69" s="2" t="s">
        <v>13</v>
      </c>
      <c r="H69" s="3"/>
      <c r="I69" s="5" t="n">
        <f aca="false">IF(OR(E69="",D69=""),"",E69/D69-1)</f>
        <v>0.101010101010101</v>
      </c>
    </row>
    <row r="70" customFormat="false" ht="15" hidden="false" customHeight="false" outlineLevel="0" collapsed="false">
      <c r="A70" s="2" t="s">
        <v>290</v>
      </c>
      <c r="B70" s="3" t="s">
        <v>291</v>
      </c>
      <c r="C70" s="4" t="s">
        <v>292</v>
      </c>
      <c r="D70" s="4" t="n">
        <v>5440</v>
      </c>
      <c r="E70" s="4" t="n">
        <v>5985</v>
      </c>
      <c r="F70" s="3" t="s">
        <v>293</v>
      </c>
      <c r="G70" s="2" t="s">
        <v>13</v>
      </c>
      <c r="H70" s="3"/>
      <c r="I70" s="5" t="n">
        <f aca="false">IF(OR(E70="",D70=""),"",E70/D70-1)</f>
        <v>0.100183823529412</v>
      </c>
    </row>
    <row r="71" customFormat="false" ht="15" hidden="false" customHeight="false" outlineLevel="0" collapsed="false">
      <c r="A71" s="2" t="s">
        <v>294</v>
      </c>
      <c r="B71" s="3" t="s">
        <v>295</v>
      </c>
      <c r="C71" s="4" t="s">
        <v>296</v>
      </c>
      <c r="D71" s="4" t="n">
        <v>5835</v>
      </c>
      <c r="E71" s="4" t="n">
        <v>6425</v>
      </c>
      <c r="F71" s="3" t="s">
        <v>297</v>
      </c>
      <c r="G71" s="2" t="s">
        <v>13</v>
      </c>
      <c r="H71" s="3"/>
      <c r="I71" s="5" t="n">
        <f aca="false">IF(OR(E71="",D71=""),"",E71/D71-1)</f>
        <v>0.101113967437875</v>
      </c>
    </row>
    <row r="72" customFormat="false" ht="15" hidden="false" customHeight="false" outlineLevel="0" collapsed="false">
      <c r="A72" s="2" t="s">
        <v>298</v>
      </c>
      <c r="B72" s="3" t="s">
        <v>299</v>
      </c>
      <c r="C72" s="4" t="s">
        <v>300</v>
      </c>
      <c r="D72" s="4" t="n">
        <v>6820</v>
      </c>
      <c r="E72" s="4" t="n">
        <v>7505</v>
      </c>
      <c r="F72" s="3" t="s">
        <v>301</v>
      </c>
      <c r="G72" s="2" t="s">
        <v>13</v>
      </c>
      <c r="H72" s="3"/>
      <c r="I72" s="5" t="n">
        <f aca="false">IF(OR(E72="",D72=""),"",E72/D72-1)</f>
        <v>0.100439882697947</v>
      </c>
    </row>
    <row r="73" customFormat="false" ht="15" hidden="false" customHeight="false" outlineLevel="0" collapsed="false">
      <c r="A73" s="2" t="s">
        <v>302</v>
      </c>
      <c r="B73" s="3" t="s">
        <v>303</v>
      </c>
      <c r="C73" s="4" t="s">
        <v>304</v>
      </c>
      <c r="D73" s="4" t="n">
        <v>7310</v>
      </c>
      <c r="E73" s="4" t="n">
        <v>8050</v>
      </c>
      <c r="F73" s="3" t="s">
        <v>305</v>
      </c>
      <c r="G73" s="2" t="s">
        <v>13</v>
      </c>
      <c r="H73" s="3"/>
      <c r="I73" s="5" t="n">
        <f aca="false">IF(OR(E73="",D73=""),"",E73/D73-1)</f>
        <v>0.101231190150479</v>
      </c>
    </row>
    <row r="74" customFormat="false" ht="23.85" hidden="false" customHeight="false" outlineLevel="0" collapsed="false">
      <c r="A74" s="2" t="s">
        <v>306</v>
      </c>
      <c r="B74" s="3" t="s">
        <v>307</v>
      </c>
      <c r="C74" s="4" t="s">
        <v>36</v>
      </c>
      <c r="D74" s="4"/>
      <c r="E74" s="4" t="n">
        <v>275</v>
      </c>
      <c r="F74" s="3" t="s">
        <v>37</v>
      </c>
      <c r="G74" s="2" t="s">
        <v>13</v>
      </c>
      <c r="H74" s="3"/>
      <c r="I74" s="5" t="str">
        <f aca="false">IF(OR(E74="",D74=""),"",E74/D74-1)</f>
        <v/>
      </c>
    </row>
    <row r="75" customFormat="false" ht="15" hidden="false" customHeight="false" outlineLevel="0" collapsed="false">
      <c r="A75" s="2" t="s">
        <v>308</v>
      </c>
      <c r="B75" s="3" t="s">
        <v>309</v>
      </c>
      <c r="C75" s="4" t="s">
        <v>310</v>
      </c>
      <c r="D75" s="4" t="n">
        <v>3190</v>
      </c>
      <c r="E75" s="4" t="n">
        <v>3510</v>
      </c>
      <c r="F75" s="3" t="s">
        <v>311</v>
      </c>
      <c r="G75" s="2" t="s">
        <v>13</v>
      </c>
      <c r="H75" s="3"/>
      <c r="I75" s="5" t="n">
        <f aca="false">IF(OR(E75="",D75=""),"",E75/D75-1)</f>
        <v>0.100313479623825</v>
      </c>
    </row>
    <row r="76" customFormat="false" ht="15" hidden="false" customHeight="false" outlineLevel="0" collapsed="false">
      <c r="A76" s="2" t="s">
        <v>312</v>
      </c>
      <c r="B76" s="3" t="s">
        <v>313</v>
      </c>
      <c r="C76" s="4" t="s">
        <v>150</v>
      </c>
      <c r="D76" s="4" t="n">
        <v>4449</v>
      </c>
      <c r="E76" s="4" t="n">
        <v>5000</v>
      </c>
      <c r="F76" s="3" t="s">
        <v>314</v>
      </c>
      <c r="G76" s="2" t="s">
        <v>13</v>
      </c>
      <c r="H76" s="3"/>
      <c r="I76" s="5" t="n">
        <f aca="false">IF(OR(E76="",D76=""),"",E76/D76-1)</f>
        <v>0.123848055742864</v>
      </c>
    </row>
    <row r="77" customFormat="false" ht="15" hidden="false" customHeight="false" outlineLevel="0" collapsed="false">
      <c r="A77" s="2" t="s">
        <v>315</v>
      </c>
      <c r="B77" s="3" t="s">
        <v>316</v>
      </c>
      <c r="C77" s="4" t="s">
        <v>317</v>
      </c>
      <c r="D77" s="4" t="n">
        <v>5325</v>
      </c>
      <c r="E77" s="4" t="n">
        <v>5860</v>
      </c>
      <c r="F77" s="3" t="s">
        <v>318</v>
      </c>
      <c r="G77" s="2" t="s">
        <v>13</v>
      </c>
      <c r="H77" s="3"/>
      <c r="I77" s="5" t="n">
        <f aca="false">IF(OR(E77="",D77=""),"",E77/D77-1)</f>
        <v>0.100469483568075</v>
      </c>
    </row>
    <row r="78" customFormat="false" ht="15" hidden="false" customHeight="false" outlineLevel="0" collapsed="false">
      <c r="A78" s="2" t="s">
        <v>319</v>
      </c>
      <c r="B78" s="3" t="s">
        <v>320</v>
      </c>
      <c r="C78" s="4" t="s">
        <v>321</v>
      </c>
      <c r="D78" s="4" t="n">
        <v>6320</v>
      </c>
      <c r="E78" s="4" t="n">
        <v>6950</v>
      </c>
      <c r="F78" s="3" t="s">
        <v>322</v>
      </c>
      <c r="G78" s="2" t="s">
        <v>13</v>
      </c>
      <c r="H78" s="3"/>
      <c r="I78" s="5" t="n">
        <f aca="false">IF(OR(E78="",D78=""),"",E78/D78-1)</f>
        <v>0.0996835443037976</v>
      </c>
    </row>
    <row r="79" customFormat="false" ht="15" hidden="false" customHeight="false" outlineLevel="0" collapsed="false">
      <c r="A79" s="2" t="s">
        <v>323</v>
      </c>
      <c r="B79" s="3" t="s">
        <v>324</v>
      </c>
      <c r="C79" s="4" t="s">
        <v>325</v>
      </c>
      <c r="D79" s="4" t="n">
        <v>7510</v>
      </c>
      <c r="E79" s="4" t="n">
        <v>8275</v>
      </c>
      <c r="F79" s="3" t="s">
        <v>326</v>
      </c>
      <c r="G79" s="2" t="s">
        <v>13</v>
      </c>
      <c r="H79" s="3"/>
      <c r="I79" s="5" t="n">
        <f aca="false">IF(OR(E79="",D79=""),"",E79/D79-1)</f>
        <v>0.101864181091877</v>
      </c>
    </row>
    <row r="80" customFormat="false" ht="15" hidden="false" customHeight="false" outlineLevel="0" collapsed="false">
      <c r="A80" s="2" t="s">
        <v>327</v>
      </c>
      <c r="B80" s="3" t="s">
        <v>328</v>
      </c>
      <c r="C80" s="4" t="s">
        <v>329</v>
      </c>
      <c r="D80" s="4" t="n">
        <v>6680</v>
      </c>
      <c r="E80" s="4" t="n">
        <v>7350</v>
      </c>
      <c r="F80" s="3" t="s">
        <v>330</v>
      </c>
      <c r="G80" s="2" t="s">
        <v>13</v>
      </c>
      <c r="H80" s="3"/>
      <c r="I80" s="5" t="n">
        <f aca="false">IF(OR(E80="",D80=""),"",E80/D80-1)</f>
        <v>0.100299401197605</v>
      </c>
    </row>
    <row r="81" customFormat="false" ht="15" hidden="false" customHeight="false" outlineLevel="0" collapsed="false">
      <c r="A81" s="2" t="s">
        <v>331</v>
      </c>
      <c r="B81" s="3" t="s">
        <v>332</v>
      </c>
      <c r="C81" s="4" t="s">
        <v>333</v>
      </c>
      <c r="D81" s="4" t="n">
        <v>7230</v>
      </c>
      <c r="E81" s="4" t="n">
        <v>7950</v>
      </c>
      <c r="F81" s="3" t="s">
        <v>334</v>
      </c>
      <c r="G81" s="2" t="s">
        <v>13</v>
      </c>
      <c r="H81" s="3"/>
      <c r="I81" s="5" t="n">
        <f aca="false">IF(OR(E81="",D81=""),"",E81/D81-1)</f>
        <v>0.099585062240664</v>
      </c>
    </row>
    <row r="82" customFormat="false" ht="15" hidden="false" customHeight="false" outlineLevel="0" collapsed="false">
      <c r="A82" s="2" t="s">
        <v>335</v>
      </c>
      <c r="B82" s="3" t="s">
        <v>336</v>
      </c>
      <c r="C82" s="4" t="s">
        <v>337</v>
      </c>
      <c r="D82" s="4" t="n">
        <v>10260</v>
      </c>
      <c r="E82" s="4" t="n">
        <v>11300</v>
      </c>
      <c r="F82" s="3" t="s">
        <v>338</v>
      </c>
      <c r="G82" s="2" t="s">
        <v>13</v>
      </c>
      <c r="H82" s="3"/>
      <c r="I82" s="5" t="n">
        <f aca="false">IF(OR(E82="",D82=""),"",E82/D82-1)</f>
        <v>0.101364522417154</v>
      </c>
    </row>
    <row r="83" customFormat="false" ht="15" hidden="false" customHeight="false" outlineLevel="0" collapsed="false">
      <c r="A83" s="2" t="s">
        <v>339</v>
      </c>
      <c r="B83" s="3" t="s">
        <v>340</v>
      </c>
      <c r="C83" s="4" t="s">
        <v>341</v>
      </c>
      <c r="D83" s="4" t="n">
        <v>12410</v>
      </c>
      <c r="E83" s="4" t="n">
        <v>13675</v>
      </c>
      <c r="F83" s="3" t="s">
        <v>342</v>
      </c>
      <c r="G83" s="2" t="s">
        <v>13</v>
      </c>
      <c r="H83" s="3"/>
      <c r="I83" s="5" t="n">
        <f aca="false">IF(OR(E83="",D83=""),"",E83/D83-1)</f>
        <v>0.101933924254633</v>
      </c>
    </row>
    <row r="84" customFormat="false" ht="15" hidden="false" customHeight="false" outlineLevel="0" collapsed="false">
      <c r="A84" s="2" t="s">
        <v>343</v>
      </c>
      <c r="B84" s="3" t="s">
        <v>344</v>
      </c>
      <c r="C84" s="4" t="s">
        <v>345</v>
      </c>
      <c r="D84" s="4" t="n">
        <v>14190</v>
      </c>
      <c r="E84" s="4" t="n">
        <v>15625</v>
      </c>
      <c r="F84" s="3" t="s">
        <v>346</v>
      </c>
      <c r="G84" s="2" t="s">
        <v>13</v>
      </c>
      <c r="H84" s="3"/>
      <c r="I84" s="5" t="n">
        <f aca="false">IF(OR(E84="",D84=""),"",E84/D84-1)</f>
        <v>0.101127554615927</v>
      </c>
    </row>
    <row r="85" customFormat="false" ht="15" hidden="false" customHeight="false" outlineLevel="0" collapsed="false">
      <c r="A85" s="2" t="s">
        <v>347</v>
      </c>
      <c r="B85" s="3" t="s">
        <v>348</v>
      </c>
      <c r="C85" s="4" t="s">
        <v>349</v>
      </c>
      <c r="D85" s="4" t="n">
        <v>16635</v>
      </c>
      <c r="E85" s="4" t="n">
        <v>18300</v>
      </c>
      <c r="F85" s="3" t="s">
        <v>350</v>
      </c>
      <c r="G85" s="2" t="s">
        <v>13</v>
      </c>
      <c r="H85" s="3"/>
      <c r="I85" s="5" t="n">
        <f aca="false">IF(OR(E85="",D85=""),"",E85/D85-1)</f>
        <v>0.100090171325518</v>
      </c>
    </row>
    <row r="86" customFormat="false" ht="15" hidden="false" customHeight="false" outlineLevel="0" collapsed="false">
      <c r="A86" s="2" t="s">
        <v>351</v>
      </c>
      <c r="B86" s="3" t="s">
        <v>352</v>
      </c>
      <c r="C86" s="4" t="s">
        <v>353</v>
      </c>
      <c r="D86" s="4" t="n">
        <v>18570</v>
      </c>
      <c r="E86" s="4" t="n">
        <v>20500</v>
      </c>
      <c r="F86" s="3" t="s">
        <v>354</v>
      </c>
      <c r="G86" s="2" t="s">
        <v>13</v>
      </c>
      <c r="H86" s="3"/>
      <c r="I86" s="5" t="n">
        <f aca="false">IF(OR(E86="",D86=""),"",E86/D86-1)</f>
        <v>0.103931071620894</v>
      </c>
    </row>
    <row r="87" customFormat="false" ht="15" hidden="false" customHeight="false" outlineLevel="0" collapsed="false">
      <c r="A87" s="2" t="s">
        <v>355</v>
      </c>
      <c r="B87" s="3" t="s">
        <v>356</v>
      </c>
      <c r="C87" s="4" t="s">
        <v>357</v>
      </c>
      <c r="D87" s="4" t="n">
        <v>21335</v>
      </c>
      <c r="E87" s="4" t="n">
        <v>23500</v>
      </c>
      <c r="F87" s="3" t="s">
        <v>358</v>
      </c>
      <c r="G87" s="2" t="s">
        <v>13</v>
      </c>
      <c r="H87" s="3"/>
      <c r="I87" s="5" t="n">
        <f aca="false">IF(OR(E87="",D87=""),"",E87/D87-1)</f>
        <v>0.101476447152566</v>
      </c>
    </row>
    <row r="88" customFormat="false" ht="15" hidden="false" customHeight="false" outlineLevel="0" collapsed="false">
      <c r="A88" s="2" t="s">
        <v>359</v>
      </c>
      <c r="B88" s="3" t="s">
        <v>360</v>
      </c>
      <c r="C88" s="4" t="s">
        <v>361</v>
      </c>
      <c r="D88" s="4" t="n">
        <v>29960</v>
      </c>
      <c r="E88" s="4" t="n">
        <v>33000</v>
      </c>
      <c r="F88" s="3" t="s">
        <v>362</v>
      </c>
      <c r="G88" s="2" t="s">
        <v>13</v>
      </c>
      <c r="H88" s="3"/>
      <c r="I88" s="5" t="n">
        <f aca="false">IF(OR(E88="",D88=""),"",E88/D88-1)</f>
        <v>0.101468624833111</v>
      </c>
    </row>
    <row r="89" customFormat="false" ht="15" hidden="false" customHeight="false" outlineLevel="0" collapsed="false">
      <c r="A89" s="2" t="s">
        <v>363</v>
      </c>
      <c r="B89" s="3" t="s">
        <v>364</v>
      </c>
      <c r="C89" s="4" t="s">
        <v>365</v>
      </c>
      <c r="D89" s="4" t="n">
        <v>8030</v>
      </c>
      <c r="E89" s="4" t="n">
        <v>8550</v>
      </c>
      <c r="F89" s="3" t="s">
        <v>366</v>
      </c>
      <c r="G89" s="2" t="s">
        <v>13</v>
      </c>
      <c r="H89" s="3" t="s">
        <v>367</v>
      </c>
      <c r="I89" s="5" t="n">
        <f aca="false">IF(OR(E89="",D89=""),"",E89/D89-1)</f>
        <v>0.0647571606475716</v>
      </c>
    </row>
    <row r="90" customFormat="false" ht="15" hidden="false" customHeight="false" outlineLevel="0" collapsed="false">
      <c r="A90" s="2" t="s">
        <v>368</v>
      </c>
      <c r="B90" s="3" t="s">
        <v>369</v>
      </c>
      <c r="C90" s="4" t="s">
        <v>370</v>
      </c>
      <c r="D90" s="4" t="n">
        <v>8845</v>
      </c>
      <c r="E90" s="4" t="n">
        <v>9775</v>
      </c>
      <c r="F90" s="3" t="s">
        <v>371</v>
      </c>
      <c r="G90" s="2" t="s">
        <v>13</v>
      </c>
      <c r="H90" s="3"/>
      <c r="I90" s="5" t="n">
        <f aca="false">IF(OR(E90="",D90=""),"",E90/D90-1)</f>
        <v>0.105144149236857</v>
      </c>
    </row>
    <row r="91" customFormat="false" ht="15" hidden="false" customHeight="false" outlineLevel="0" collapsed="false">
      <c r="A91" s="2" t="s">
        <v>372</v>
      </c>
      <c r="B91" s="3" t="s">
        <v>373</v>
      </c>
      <c r="C91" s="4" t="s">
        <v>374</v>
      </c>
      <c r="D91" s="4" t="n">
        <v>3500</v>
      </c>
      <c r="E91" s="4" t="n">
        <v>3950</v>
      </c>
      <c r="F91" s="3" t="s">
        <v>375</v>
      </c>
      <c r="G91" s="2" t="s">
        <v>13</v>
      </c>
      <c r="H91" s="3" t="s">
        <v>376</v>
      </c>
      <c r="I91" s="5" t="n">
        <f aca="false">IF(OR(E91="",D91=""),"",E91/D91-1)</f>
        <v>0.128571428571429</v>
      </c>
    </row>
    <row r="92" customFormat="false" ht="15" hidden="false" customHeight="false" outlineLevel="0" collapsed="false">
      <c r="A92" s="2" t="s">
        <v>377</v>
      </c>
      <c r="B92" s="3" t="s">
        <v>378</v>
      </c>
      <c r="C92" s="4" t="s">
        <v>379</v>
      </c>
      <c r="D92" s="4" t="n">
        <v>3860</v>
      </c>
      <c r="E92" s="4" t="n">
        <v>4250</v>
      </c>
      <c r="F92" s="3" t="s">
        <v>380</v>
      </c>
      <c r="G92" s="2" t="s">
        <v>13</v>
      </c>
      <c r="H92" s="3"/>
      <c r="I92" s="5" t="n">
        <f aca="false">IF(OR(E92="",D92=""),"",E92/D92-1)</f>
        <v>0.101036269430052</v>
      </c>
    </row>
    <row r="93" customFormat="false" ht="15" hidden="false" customHeight="false" outlineLevel="0" collapsed="false">
      <c r="A93" s="2" t="s">
        <v>381</v>
      </c>
      <c r="B93" s="3" t="s">
        <v>382</v>
      </c>
      <c r="C93" s="4" t="s">
        <v>383</v>
      </c>
      <c r="D93" s="4" t="n">
        <v>1240</v>
      </c>
      <c r="E93" s="4" t="n">
        <v>1365</v>
      </c>
      <c r="F93" s="3" t="s">
        <v>384</v>
      </c>
      <c r="G93" s="2" t="s">
        <v>13</v>
      </c>
      <c r="H93" s="3"/>
      <c r="I93" s="5" t="n">
        <f aca="false">IF(OR(E93="",D93=""),"",E93/D93-1)</f>
        <v>0.100806451612903</v>
      </c>
    </row>
    <row r="94" customFormat="false" ht="15" hidden="false" customHeight="false" outlineLevel="0" collapsed="false">
      <c r="A94" s="2" t="s">
        <v>385</v>
      </c>
      <c r="B94" s="3" t="s">
        <v>386</v>
      </c>
      <c r="C94" s="4" t="s">
        <v>387</v>
      </c>
      <c r="D94" s="4" t="n">
        <v>1120</v>
      </c>
      <c r="E94" s="4" t="n">
        <v>1235</v>
      </c>
      <c r="F94" s="3" t="s">
        <v>388</v>
      </c>
      <c r="G94" s="2" t="s">
        <v>13</v>
      </c>
      <c r="H94" s="3"/>
      <c r="I94" s="5" t="n">
        <f aca="false">IF(OR(E94="",D94=""),"",E94/D94-1)</f>
        <v>0.102678571428571</v>
      </c>
    </row>
    <row r="95" customFormat="false" ht="15" hidden="false" customHeight="false" outlineLevel="0" collapsed="false">
      <c r="A95" s="2" t="s">
        <v>389</v>
      </c>
      <c r="B95" s="3" t="s">
        <v>390</v>
      </c>
      <c r="C95" s="4" t="s">
        <v>391</v>
      </c>
      <c r="D95" s="4" t="n">
        <v>1285</v>
      </c>
      <c r="E95" s="4" t="n">
        <v>1525</v>
      </c>
      <c r="F95" s="3" t="s">
        <v>392</v>
      </c>
      <c r="G95" s="2" t="s">
        <v>13</v>
      </c>
      <c r="H95" s="3"/>
      <c r="I95" s="5" t="n">
        <f aca="false">IF(OR(E95="",D95=""),"",E95/D95-1)</f>
        <v>0.186770428015564</v>
      </c>
    </row>
    <row r="96" customFormat="false" ht="15" hidden="false" customHeight="false" outlineLevel="0" collapsed="false">
      <c r="A96" s="2" t="s">
        <v>393</v>
      </c>
      <c r="B96" s="3" t="s">
        <v>394</v>
      </c>
      <c r="C96" s="4" t="s">
        <v>395</v>
      </c>
      <c r="D96" s="4" t="n">
        <v>1315</v>
      </c>
      <c r="E96" s="4" t="n">
        <v>1450</v>
      </c>
      <c r="F96" s="3" t="s">
        <v>396</v>
      </c>
      <c r="G96" s="2" t="s">
        <v>13</v>
      </c>
      <c r="H96" s="3"/>
      <c r="I96" s="5" t="n">
        <f aca="false">IF(OR(E96="",D96=""),"",E96/D96-1)</f>
        <v>0.102661596958175</v>
      </c>
    </row>
    <row r="97" customFormat="false" ht="15" hidden="false" customHeight="false" outlineLevel="0" collapsed="false">
      <c r="A97" s="2" t="s">
        <v>397</v>
      </c>
      <c r="B97" s="3" t="s">
        <v>398</v>
      </c>
      <c r="C97" s="4" t="s">
        <v>399</v>
      </c>
      <c r="D97" s="4" t="n">
        <v>1620</v>
      </c>
      <c r="E97" s="4" t="n">
        <v>1700</v>
      </c>
      <c r="F97" s="3" t="s">
        <v>400</v>
      </c>
      <c r="G97" s="2" t="s">
        <v>13</v>
      </c>
      <c r="H97" s="3"/>
      <c r="I97" s="5" t="n">
        <f aca="false">IF(OR(E97="",D97=""),"",E97/D97-1)</f>
        <v>0.0493827160493827</v>
      </c>
    </row>
    <row r="98" customFormat="false" ht="15" hidden="false" customHeight="false" outlineLevel="0" collapsed="false">
      <c r="A98" s="2" t="s">
        <v>401</v>
      </c>
      <c r="B98" s="3" t="s">
        <v>402</v>
      </c>
      <c r="C98" s="4" t="s">
        <v>403</v>
      </c>
      <c r="D98" s="4" t="n">
        <v>1460</v>
      </c>
      <c r="E98" s="4" t="n">
        <v>1600</v>
      </c>
      <c r="F98" s="3" t="s">
        <v>404</v>
      </c>
      <c r="G98" s="2" t="s">
        <v>13</v>
      </c>
      <c r="H98" s="3"/>
      <c r="I98" s="5" t="n">
        <f aca="false">IF(OR(E98="",D98=""),"",E98/D98-1)</f>
        <v>0.0958904109589041</v>
      </c>
    </row>
    <row r="99" customFormat="false" ht="15" hidden="false" customHeight="false" outlineLevel="0" collapsed="false">
      <c r="A99" s="2" t="s">
        <v>405</v>
      </c>
      <c r="B99" s="3" t="s">
        <v>406</v>
      </c>
      <c r="C99" s="4" t="s">
        <v>407</v>
      </c>
      <c r="D99" s="4"/>
      <c r="E99" s="4" t="n">
        <v>100</v>
      </c>
      <c r="F99" s="3" t="s">
        <v>408</v>
      </c>
      <c r="G99" s="2" t="s">
        <v>13</v>
      </c>
      <c r="H99" s="3"/>
      <c r="I99" s="5" t="str">
        <f aca="false">IF(OR(E99="",D99=""),"",E99/D99-1)</f>
        <v/>
      </c>
    </row>
    <row r="100" customFormat="false" ht="15" hidden="false" customHeight="false" outlineLevel="0" collapsed="false">
      <c r="A100" s="2" t="s">
        <v>409</v>
      </c>
      <c r="B100" s="3" t="s">
        <v>410</v>
      </c>
      <c r="C100" s="4" t="s">
        <v>411</v>
      </c>
      <c r="D100" s="4"/>
      <c r="E100" s="4" t="n">
        <v>1600</v>
      </c>
      <c r="F100" s="3" t="s">
        <v>252</v>
      </c>
      <c r="G100" s="2" t="s">
        <v>13</v>
      </c>
      <c r="H100" s="3" t="s">
        <v>412</v>
      </c>
      <c r="I100" s="5" t="str">
        <f aca="false">IF(OR(E100="",D100=""),"",E100/D100-1)</f>
        <v/>
      </c>
    </row>
    <row r="101" customFormat="false" ht="15" hidden="false" customHeight="false" outlineLevel="0" collapsed="false">
      <c r="A101" s="2" t="s">
        <v>413</v>
      </c>
      <c r="B101" s="3" t="s">
        <v>414</v>
      </c>
      <c r="C101" s="4" t="s">
        <v>415</v>
      </c>
      <c r="D101" s="4" t="n">
        <v>2465</v>
      </c>
      <c r="E101" s="4" t="n">
        <v>2725</v>
      </c>
      <c r="F101" s="3" t="s">
        <v>416</v>
      </c>
      <c r="G101" s="2" t="s">
        <v>13</v>
      </c>
      <c r="H101" s="3"/>
      <c r="I101" s="5" t="n">
        <f aca="false">IF(OR(E101="",D101=""),"",E101/D101-1)</f>
        <v>0.105476673427992</v>
      </c>
    </row>
    <row r="102" customFormat="false" ht="15" hidden="false" customHeight="false" outlineLevel="0" collapsed="false">
      <c r="A102" s="2" t="s">
        <v>417</v>
      </c>
      <c r="B102" s="3" t="s">
        <v>418</v>
      </c>
      <c r="C102" s="4" t="s">
        <v>419</v>
      </c>
      <c r="D102" s="4" t="n">
        <v>2600</v>
      </c>
      <c r="E102" s="4" t="n">
        <v>2850</v>
      </c>
      <c r="F102" s="3" t="s">
        <v>420</v>
      </c>
      <c r="G102" s="2" t="s">
        <v>13</v>
      </c>
      <c r="H102" s="3"/>
      <c r="I102" s="5" t="n">
        <f aca="false">IF(OR(E102="",D102=""),"",E102/D102-1)</f>
        <v>0.0961538461538463</v>
      </c>
    </row>
    <row r="103" customFormat="false" ht="15" hidden="false" customHeight="false" outlineLevel="0" collapsed="false">
      <c r="A103" s="2" t="s">
        <v>421</v>
      </c>
      <c r="B103" s="3" t="s">
        <v>422</v>
      </c>
      <c r="C103" s="4" t="s">
        <v>106</v>
      </c>
      <c r="D103" s="4" t="n">
        <v>3565</v>
      </c>
      <c r="E103" s="4" t="n">
        <v>3925</v>
      </c>
      <c r="F103" s="3" t="s">
        <v>423</v>
      </c>
      <c r="G103" s="2" t="s">
        <v>13</v>
      </c>
      <c r="H103" s="3"/>
      <c r="I103" s="5" t="n">
        <f aca="false">IF(OR(E103="",D103=""),"",E103/D103-1)</f>
        <v>0.100981767180926</v>
      </c>
    </row>
    <row r="104" customFormat="false" ht="15" hidden="false" customHeight="false" outlineLevel="0" collapsed="false">
      <c r="A104" s="2" t="s">
        <v>424</v>
      </c>
      <c r="B104" s="3" t="s">
        <v>425</v>
      </c>
      <c r="C104" s="4" t="s">
        <v>426</v>
      </c>
      <c r="D104" s="4" t="n">
        <v>4035</v>
      </c>
      <c r="E104" s="4" t="n">
        <v>4450</v>
      </c>
      <c r="F104" s="3" t="s">
        <v>427</v>
      </c>
      <c r="G104" s="2" t="s">
        <v>13</v>
      </c>
      <c r="H104" s="3"/>
      <c r="I104" s="5" t="n">
        <f aca="false">IF(OR(E104="",D104=""),"",E104/D104-1)</f>
        <v>0.102850061957869</v>
      </c>
    </row>
    <row r="105" customFormat="false" ht="15" hidden="false" customHeight="false" outlineLevel="0" collapsed="false">
      <c r="A105" s="2" t="s">
        <v>428</v>
      </c>
      <c r="B105" s="3" t="s">
        <v>429</v>
      </c>
      <c r="C105" s="4" t="s">
        <v>430</v>
      </c>
      <c r="D105" s="4" t="n">
        <v>4495</v>
      </c>
      <c r="E105" s="4" t="n">
        <v>4950</v>
      </c>
      <c r="F105" s="3" t="s">
        <v>431</v>
      </c>
      <c r="G105" s="2" t="s">
        <v>13</v>
      </c>
      <c r="H105" s="3" t="s">
        <v>432</v>
      </c>
      <c r="I105" s="5" t="n">
        <f aca="false">IF(OR(E105="",D105=""),"",E105/D105-1)</f>
        <v>0.101223581757508</v>
      </c>
    </row>
    <row r="106" customFormat="false" ht="15" hidden="false" customHeight="false" outlineLevel="0" collapsed="false">
      <c r="A106" s="2" t="s">
        <v>433</v>
      </c>
      <c r="B106" s="3" t="s">
        <v>434</v>
      </c>
      <c r="C106" s="4" t="s">
        <v>435</v>
      </c>
      <c r="D106" s="4" t="n">
        <v>4790</v>
      </c>
      <c r="E106" s="4" t="n">
        <v>5300</v>
      </c>
      <c r="F106" s="3" t="s">
        <v>436</v>
      </c>
      <c r="G106" s="2" t="s">
        <v>13</v>
      </c>
      <c r="H106" s="3"/>
      <c r="I106" s="5" t="n">
        <f aca="false">IF(OR(E106="",D106=""),"",E106/D106-1)</f>
        <v>0.106471816283925</v>
      </c>
    </row>
    <row r="107" customFormat="false" ht="15" hidden="false" customHeight="false" outlineLevel="0" collapsed="false">
      <c r="A107" s="2" t="s">
        <v>437</v>
      </c>
      <c r="B107" s="3" t="s">
        <v>438</v>
      </c>
      <c r="C107" s="4" t="s">
        <v>439</v>
      </c>
      <c r="D107" s="4" t="n">
        <v>4380</v>
      </c>
      <c r="E107" s="4" t="n">
        <v>4825</v>
      </c>
      <c r="F107" s="3" t="s">
        <v>440</v>
      </c>
      <c r="G107" s="2" t="s">
        <v>13</v>
      </c>
      <c r="H107" s="3"/>
      <c r="I107" s="5" t="n">
        <f aca="false">IF(OR(E107="",D107=""),"",E107/D107-1)</f>
        <v>0.101598173515982</v>
      </c>
    </row>
    <row r="108" customFormat="false" ht="15" hidden="false" customHeight="false" outlineLevel="0" collapsed="false">
      <c r="A108" s="2" t="s">
        <v>441</v>
      </c>
      <c r="B108" s="3" t="s">
        <v>442</v>
      </c>
      <c r="C108" s="4" t="s">
        <v>443</v>
      </c>
      <c r="D108" s="4" t="n">
        <v>5330</v>
      </c>
      <c r="E108" s="4" t="n">
        <v>5270</v>
      </c>
      <c r="F108" s="3" t="s">
        <v>444</v>
      </c>
      <c r="G108" s="2" t="s">
        <v>13</v>
      </c>
      <c r="H108" s="3" t="s">
        <v>445</v>
      </c>
      <c r="I108" s="5" t="n">
        <f aca="false">IF(OR(E108="",D108=""),"",E108/D108-1)</f>
        <v>-0.0112570356472795</v>
      </c>
    </row>
    <row r="109" customFormat="false" ht="15" hidden="false" customHeight="false" outlineLevel="0" collapsed="false">
      <c r="A109" s="2" t="s">
        <v>446</v>
      </c>
      <c r="B109" s="3" t="s">
        <v>447</v>
      </c>
      <c r="C109" s="4" t="s">
        <v>448</v>
      </c>
      <c r="D109" s="4" t="n">
        <v>4845</v>
      </c>
      <c r="E109" s="4" t="n">
        <v>5875</v>
      </c>
      <c r="F109" s="3" t="s">
        <v>449</v>
      </c>
      <c r="G109" s="2" t="s">
        <v>13</v>
      </c>
      <c r="H109" s="3"/>
      <c r="I109" s="5" t="n">
        <f aca="false">IF(OR(E109="",D109=""),"",E109/D109-1)</f>
        <v>0.212590299277606</v>
      </c>
    </row>
    <row r="110" customFormat="false" ht="15" hidden="false" customHeight="false" outlineLevel="0" collapsed="false">
      <c r="A110" s="2" t="s">
        <v>450</v>
      </c>
      <c r="B110" s="3" t="s">
        <v>451</v>
      </c>
      <c r="C110" s="4" t="s">
        <v>452</v>
      </c>
      <c r="D110" s="4" t="n">
        <v>5035</v>
      </c>
      <c r="E110" s="4" t="n">
        <v>5550</v>
      </c>
      <c r="F110" s="3" t="s">
        <v>453</v>
      </c>
      <c r="G110" s="2" t="s">
        <v>13</v>
      </c>
      <c r="H110" s="3"/>
      <c r="I110" s="5" t="n">
        <f aca="false">IF(OR(E110="",D110=""),"",E110/D110-1)</f>
        <v>0.102284011916584</v>
      </c>
    </row>
    <row r="111" customFormat="false" ht="15" hidden="false" customHeight="false" outlineLevel="0" collapsed="false">
      <c r="A111" s="2" t="s">
        <v>454</v>
      </c>
      <c r="B111" s="3" t="s">
        <v>455</v>
      </c>
      <c r="C111" s="4" t="s">
        <v>456</v>
      </c>
      <c r="D111" s="4" t="n">
        <v>5710</v>
      </c>
      <c r="E111" s="4" t="n">
        <v>6300</v>
      </c>
      <c r="F111" s="3" t="s">
        <v>457</v>
      </c>
      <c r="G111" s="2" t="s">
        <v>13</v>
      </c>
      <c r="H111" s="3"/>
      <c r="I111" s="5" t="n">
        <f aca="false">IF(OR(E111="",D111=""),"",E111/D111-1)</f>
        <v>0.103327495621716</v>
      </c>
    </row>
    <row r="112" customFormat="false" ht="15" hidden="false" customHeight="false" outlineLevel="0" collapsed="false">
      <c r="A112" s="2" t="s">
        <v>458</v>
      </c>
      <c r="B112" s="3" t="s">
        <v>459</v>
      </c>
      <c r="C112" s="4" t="s">
        <v>460</v>
      </c>
      <c r="D112" s="4" t="n">
        <v>6300</v>
      </c>
      <c r="E112" s="4" t="n">
        <v>6950</v>
      </c>
      <c r="F112" s="3" t="s">
        <v>461</v>
      </c>
      <c r="G112" s="2" t="s">
        <v>13</v>
      </c>
      <c r="H112" s="3"/>
      <c r="I112" s="5" t="n">
        <f aca="false">IF(OR(E112="",D112=""),"",E112/D112-1)</f>
        <v>0.103174603174603</v>
      </c>
    </row>
    <row r="113" customFormat="false" ht="15" hidden="false" customHeight="false" outlineLevel="0" collapsed="false">
      <c r="A113" s="2" t="s">
        <v>462</v>
      </c>
      <c r="B113" s="3" t="s">
        <v>463</v>
      </c>
      <c r="C113" s="4" t="s">
        <v>464</v>
      </c>
      <c r="D113" s="4" t="n">
        <v>6920</v>
      </c>
      <c r="E113" s="4" t="n">
        <v>7625</v>
      </c>
      <c r="F113" s="3" t="s">
        <v>465</v>
      </c>
      <c r="G113" s="2" t="s">
        <v>13</v>
      </c>
      <c r="H113" s="3"/>
      <c r="I113" s="5" t="n">
        <f aca="false">IF(OR(E113="",D113=""),"",E113/D113-1)</f>
        <v>0.101878612716763</v>
      </c>
    </row>
    <row r="114" customFormat="false" ht="15" hidden="false" customHeight="false" outlineLevel="0" collapsed="false">
      <c r="A114" s="2" t="s">
        <v>466</v>
      </c>
      <c r="B114" s="3" t="s">
        <v>467</v>
      </c>
      <c r="C114" s="4" t="s">
        <v>468</v>
      </c>
      <c r="D114" s="4" t="n">
        <v>6330</v>
      </c>
      <c r="E114" s="4" t="n">
        <v>7200</v>
      </c>
      <c r="F114" s="3" t="s">
        <v>469</v>
      </c>
      <c r="G114" s="2" t="s">
        <v>13</v>
      </c>
      <c r="H114" s="3"/>
      <c r="I114" s="5" t="n">
        <f aca="false">IF(OR(E114="",D114=""),"",E114/D114-1)</f>
        <v>0.137440758293839</v>
      </c>
    </row>
    <row r="115" customFormat="false" ht="15" hidden="false" customHeight="false" outlineLevel="0" collapsed="false">
      <c r="A115" s="2" t="s">
        <v>470</v>
      </c>
      <c r="B115" s="3" t="s">
        <v>471</v>
      </c>
      <c r="C115" s="4" t="s">
        <v>472</v>
      </c>
      <c r="D115" s="4" t="n">
        <v>6820</v>
      </c>
      <c r="E115" s="4" t="n">
        <v>7700</v>
      </c>
      <c r="F115" s="3" t="s">
        <v>473</v>
      </c>
      <c r="G115" s="2" t="s">
        <v>13</v>
      </c>
      <c r="H115" s="3"/>
      <c r="I115" s="5" t="n">
        <f aca="false">IF(OR(E115="",D115=""),"",E115/D115-1)</f>
        <v>0.129032258064516</v>
      </c>
    </row>
    <row r="116" customFormat="false" ht="15" hidden="false" customHeight="false" outlineLevel="0" collapsed="false">
      <c r="A116" s="2" t="s">
        <v>474</v>
      </c>
      <c r="B116" s="3" t="s">
        <v>475</v>
      </c>
      <c r="C116" s="4" t="s">
        <v>476</v>
      </c>
      <c r="D116" s="4" t="n">
        <v>7590</v>
      </c>
      <c r="E116" s="4" t="n">
        <v>8500</v>
      </c>
      <c r="F116" s="3" t="s">
        <v>477</v>
      </c>
      <c r="G116" s="2" t="s">
        <v>13</v>
      </c>
      <c r="H116" s="3"/>
      <c r="I116" s="5" t="n">
        <f aca="false">IF(OR(E116="",D116=""),"",E116/D116-1)</f>
        <v>0.119894598155468</v>
      </c>
    </row>
    <row r="117" customFormat="false" ht="15" hidden="false" customHeight="false" outlineLevel="0" collapsed="false">
      <c r="A117" s="2" t="s">
        <v>478</v>
      </c>
      <c r="B117" s="3" t="s">
        <v>479</v>
      </c>
      <c r="C117" s="4" t="s">
        <v>480</v>
      </c>
      <c r="D117" s="4" t="n">
        <v>8220</v>
      </c>
      <c r="E117" s="4" t="n">
        <v>9050</v>
      </c>
      <c r="F117" s="3" t="s">
        <v>481</v>
      </c>
      <c r="G117" s="2" t="s">
        <v>13</v>
      </c>
      <c r="H117" s="3"/>
      <c r="I117" s="5" t="n">
        <f aca="false">IF(OR(E117="",D117=""),"",E117/D117-1)</f>
        <v>0.100973236009732</v>
      </c>
    </row>
    <row r="118" customFormat="false" ht="15" hidden="false" customHeight="false" outlineLevel="0" collapsed="false">
      <c r="A118" s="2" t="s">
        <v>482</v>
      </c>
      <c r="B118" s="3" t="s">
        <v>483</v>
      </c>
      <c r="C118" s="4" t="s">
        <v>484</v>
      </c>
      <c r="D118" s="4" t="n">
        <v>1555</v>
      </c>
      <c r="E118" s="4" t="n">
        <v>1710</v>
      </c>
      <c r="F118" s="3" t="s">
        <v>485</v>
      </c>
      <c r="G118" s="2" t="s">
        <v>13</v>
      </c>
      <c r="H118" s="3"/>
      <c r="I118" s="5" t="n">
        <f aca="false">IF(OR(E118="",D118=""),"",E118/D118-1)</f>
        <v>0.0996784565916398</v>
      </c>
    </row>
    <row r="119" customFormat="false" ht="15" hidden="false" customHeight="false" outlineLevel="0" collapsed="false">
      <c r="A119" s="2" t="s">
        <v>486</v>
      </c>
      <c r="B119" s="3" t="s">
        <v>487</v>
      </c>
      <c r="C119" s="4" t="s">
        <v>488</v>
      </c>
      <c r="D119" s="4"/>
      <c r="E119" s="4" t="n">
        <v>15</v>
      </c>
      <c r="F119" s="3" t="s">
        <v>489</v>
      </c>
      <c r="G119" s="2" t="s">
        <v>13</v>
      </c>
      <c r="H119" s="3"/>
      <c r="I119" s="5" t="str">
        <f aca="false">IF(OR(E119="",D119=""),"",E119/D119-1)</f>
        <v/>
      </c>
    </row>
    <row r="120" customFormat="false" ht="15" hidden="false" customHeight="false" outlineLevel="0" collapsed="false">
      <c r="A120" s="2" t="s">
        <v>490</v>
      </c>
      <c r="B120" s="3" t="s">
        <v>491</v>
      </c>
      <c r="C120" s="4" t="s">
        <v>492</v>
      </c>
      <c r="D120" s="4" t="n">
        <v>10330</v>
      </c>
      <c r="E120" s="4" t="n">
        <v>11500</v>
      </c>
      <c r="F120" s="3" t="s">
        <v>493</v>
      </c>
      <c r="G120" s="2" t="s">
        <v>13</v>
      </c>
      <c r="H120" s="3"/>
      <c r="I120" s="5" t="n">
        <f aca="false">IF(OR(E120="",D120=""),"",E120/D120-1)</f>
        <v>0.113262342691191</v>
      </c>
    </row>
    <row r="121" customFormat="false" ht="15" hidden="false" customHeight="false" outlineLevel="0" collapsed="false">
      <c r="A121" s="2" t="s">
        <v>494</v>
      </c>
      <c r="B121" s="3" t="s">
        <v>495</v>
      </c>
      <c r="C121" s="4" t="s">
        <v>496</v>
      </c>
      <c r="D121" s="4" t="n">
        <v>19835</v>
      </c>
      <c r="E121" s="4" t="n">
        <v>22000</v>
      </c>
      <c r="F121" s="3" t="s">
        <v>497</v>
      </c>
      <c r="G121" s="2" t="s">
        <v>13</v>
      </c>
      <c r="H121" s="3" t="s">
        <v>498</v>
      </c>
      <c r="I121" s="5" t="n">
        <f aca="false">IF(OR(E121="",D121=""),"",E121/D121-1)</f>
        <v>0.109150491555331</v>
      </c>
    </row>
    <row r="122" customFormat="false" ht="15" hidden="false" customHeight="false" outlineLevel="0" collapsed="false">
      <c r="A122" s="2" t="s">
        <v>499</v>
      </c>
      <c r="B122" s="3" t="s">
        <v>500</v>
      </c>
      <c r="C122" s="4" t="s">
        <v>501</v>
      </c>
      <c r="D122" s="4" t="n">
        <v>1990</v>
      </c>
      <c r="E122" s="4" t="n">
        <v>2200</v>
      </c>
      <c r="F122" s="3" t="s">
        <v>502</v>
      </c>
      <c r="G122" s="2" t="s">
        <v>13</v>
      </c>
      <c r="H122" s="3"/>
      <c r="I122" s="5" t="n">
        <f aca="false">IF(OR(E122="",D122=""),"",E122/D122-1)</f>
        <v>0.105527638190955</v>
      </c>
    </row>
    <row r="123" customFormat="false" ht="15" hidden="false" customHeight="false" outlineLevel="0" collapsed="false">
      <c r="A123" s="6" t="s">
        <v>503</v>
      </c>
      <c r="B123" s="7" t="s">
        <v>504</v>
      </c>
      <c r="C123" s="8" t="s">
        <v>505</v>
      </c>
      <c r="D123" s="8"/>
      <c r="E123" s="8"/>
      <c r="F123" s="7"/>
      <c r="G123" s="6" t="s">
        <v>18</v>
      </c>
      <c r="H123" s="7" t="s">
        <v>506</v>
      </c>
      <c r="I123" s="9" t="str">
        <f aca="false">IF(OR(E123="",D123=""),"",E123/D123-1)</f>
        <v/>
      </c>
    </row>
    <row r="124" customFormat="false" ht="15" hidden="false" customHeight="false" outlineLevel="0" collapsed="false">
      <c r="A124" s="6" t="s">
        <v>507</v>
      </c>
      <c r="B124" s="7" t="s">
        <v>508</v>
      </c>
      <c r="C124" s="8" t="s">
        <v>509</v>
      </c>
      <c r="D124" s="8"/>
      <c r="E124" s="8"/>
      <c r="F124" s="7"/>
      <c r="G124" s="6" t="s">
        <v>18</v>
      </c>
      <c r="H124" s="7" t="s">
        <v>506</v>
      </c>
      <c r="I124" s="9" t="str">
        <f aca="false">IF(OR(E124="",D124=""),"",E124/D124-1)</f>
        <v/>
      </c>
    </row>
    <row r="125" customFormat="false" ht="15" hidden="false" customHeight="false" outlineLevel="0" collapsed="false">
      <c r="A125" s="6" t="s">
        <v>510</v>
      </c>
      <c r="B125" s="7" t="s">
        <v>511</v>
      </c>
      <c r="C125" s="8" t="s">
        <v>512</v>
      </c>
      <c r="D125" s="8"/>
      <c r="E125" s="8"/>
      <c r="F125" s="7"/>
      <c r="G125" s="6" t="s">
        <v>18</v>
      </c>
      <c r="H125" s="7" t="s">
        <v>506</v>
      </c>
      <c r="I125" s="9" t="str">
        <f aca="false">IF(OR(E125="",D125=""),"",E125/D125-1)</f>
        <v/>
      </c>
    </row>
    <row r="126" customFormat="false" ht="15" hidden="false" customHeight="false" outlineLevel="0" collapsed="false">
      <c r="A126" s="6" t="s">
        <v>513</v>
      </c>
      <c r="B126" s="7" t="s">
        <v>514</v>
      </c>
      <c r="C126" s="8" t="s">
        <v>515</v>
      </c>
      <c r="D126" s="8"/>
      <c r="E126" s="8"/>
      <c r="F126" s="7"/>
      <c r="G126" s="6" t="s">
        <v>18</v>
      </c>
      <c r="H126" s="7" t="s">
        <v>506</v>
      </c>
      <c r="I126" s="9" t="str">
        <f aca="false">IF(OR(E126="",D126=""),"",E126/D126-1)</f>
        <v/>
      </c>
    </row>
    <row r="127" customFormat="false" ht="15" hidden="false" customHeight="false" outlineLevel="0" collapsed="false">
      <c r="A127" s="6" t="s">
        <v>516</v>
      </c>
      <c r="B127" s="7" t="s">
        <v>517</v>
      </c>
      <c r="C127" s="8" t="s">
        <v>518</v>
      </c>
      <c r="D127" s="8"/>
      <c r="E127" s="8"/>
      <c r="F127" s="7"/>
      <c r="G127" s="6" t="s">
        <v>18</v>
      </c>
      <c r="H127" s="7" t="s">
        <v>506</v>
      </c>
      <c r="I127" s="9" t="str">
        <f aca="false">IF(OR(E127="",D127=""),"",E127/D127-1)</f>
        <v/>
      </c>
    </row>
    <row r="128" customFormat="false" ht="15" hidden="false" customHeight="false" outlineLevel="0" collapsed="false">
      <c r="A128" s="6" t="s">
        <v>519</v>
      </c>
      <c r="B128" s="7" t="s">
        <v>520</v>
      </c>
      <c r="C128" s="8" t="s">
        <v>521</v>
      </c>
      <c r="D128" s="8"/>
      <c r="E128" s="8"/>
      <c r="F128" s="7"/>
      <c r="G128" s="6" t="s">
        <v>18</v>
      </c>
      <c r="H128" s="7" t="s">
        <v>506</v>
      </c>
      <c r="I128" s="9" t="str">
        <f aca="false">IF(OR(E128="",D128=""),"",E128/D128-1)</f>
        <v/>
      </c>
    </row>
    <row r="129" customFormat="false" ht="15" hidden="false" customHeight="false" outlineLevel="0" collapsed="false">
      <c r="A129" s="6" t="s">
        <v>522</v>
      </c>
      <c r="B129" s="7" t="s">
        <v>523</v>
      </c>
      <c r="C129" s="8" t="s">
        <v>524</v>
      </c>
      <c r="D129" s="8"/>
      <c r="E129" s="8"/>
      <c r="F129" s="7"/>
      <c r="G129" s="6" t="s">
        <v>18</v>
      </c>
      <c r="H129" s="7" t="s">
        <v>506</v>
      </c>
      <c r="I129" s="9" t="str">
        <f aca="false">IF(OR(E129="",D129=""),"",E129/D129-1)</f>
        <v/>
      </c>
    </row>
    <row r="130" customFormat="false" ht="15" hidden="false" customHeight="false" outlineLevel="0" collapsed="false">
      <c r="A130" s="6" t="s">
        <v>525</v>
      </c>
      <c r="B130" s="7" t="s">
        <v>526</v>
      </c>
      <c r="C130" s="8" t="s">
        <v>527</v>
      </c>
      <c r="D130" s="8"/>
      <c r="E130" s="8"/>
      <c r="F130" s="7"/>
      <c r="G130" s="6" t="s">
        <v>18</v>
      </c>
      <c r="H130" s="7" t="s">
        <v>506</v>
      </c>
      <c r="I130" s="9" t="str">
        <f aca="false">IF(OR(E130="",D130=""),"",E130/D130-1)</f>
        <v/>
      </c>
    </row>
    <row r="131" customFormat="false" ht="15" hidden="false" customHeight="false" outlineLevel="0" collapsed="false">
      <c r="A131" s="2" t="s">
        <v>528</v>
      </c>
      <c r="B131" s="3" t="s">
        <v>529</v>
      </c>
      <c r="C131" s="4" t="s">
        <v>530</v>
      </c>
      <c r="D131" s="4" t="n">
        <v>27190</v>
      </c>
      <c r="E131" s="4" t="n">
        <v>29950</v>
      </c>
      <c r="F131" s="3" t="s">
        <v>531</v>
      </c>
      <c r="G131" s="2" t="s">
        <v>13</v>
      </c>
      <c r="H131" s="3"/>
      <c r="I131" s="5" t="n">
        <f aca="false">IF(OR(E131="",D131=""),"",E131/D131-1)</f>
        <v>0.101507907318867</v>
      </c>
    </row>
    <row r="132" customFormat="false" ht="15" hidden="false" customHeight="false" outlineLevel="0" collapsed="false">
      <c r="A132" s="2" t="s">
        <v>532</v>
      </c>
      <c r="B132" s="3" t="s">
        <v>533</v>
      </c>
      <c r="C132" s="4" t="s">
        <v>534</v>
      </c>
      <c r="D132" s="4"/>
      <c r="E132" s="4" t="n">
        <v>650</v>
      </c>
      <c r="F132" s="3" t="s">
        <v>535</v>
      </c>
      <c r="G132" s="2" t="s">
        <v>24</v>
      </c>
      <c r="H132" s="3"/>
      <c r="I132" s="5" t="str">
        <f aca="false">IF(OR(E132="",D132=""),"",E132/D132-1)</f>
        <v/>
      </c>
    </row>
    <row r="133" customFormat="false" ht="15" hidden="false" customHeight="false" outlineLevel="0" collapsed="false">
      <c r="A133" s="2" t="s">
        <v>536</v>
      </c>
      <c r="B133" s="3" t="s">
        <v>537</v>
      </c>
      <c r="C133" s="4" t="s">
        <v>538</v>
      </c>
      <c r="D133" s="4"/>
      <c r="E133" s="4" t="n">
        <v>1830</v>
      </c>
      <c r="F133" s="3" t="s">
        <v>539</v>
      </c>
      <c r="G133" s="2" t="s">
        <v>13</v>
      </c>
      <c r="H133" s="3"/>
      <c r="I133" s="5" t="str">
        <f aca="false">IF(OR(E133="",D133=""),"",E133/D133-1)</f>
        <v/>
      </c>
    </row>
    <row r="134" customFormat="false" ht="15" hidden="false" customHeight="false" outlineLevel="0" collapsed="false">
      <c r="A134" s="2" t="s">
        <v>540</v>
      </c>
      <c r="B134" s="3" t="s">
        <v>541</v>
      </c>
      <c r="C134" s="4" t="s">
        <v>542</v>
      </c>
      <c r="D134" s="4"/>
      <c r="E134" s="4" t="n">
        <v>31</v>
      </c>
      <c r="F134" s="3" t="s">
        <v>543</v>
      </c>
      <c r="G134" s="2" t="s">
        <v>13</v>
      </c>
      <c r="H134" s="3"/>
      <c r="I134" s="5" t="str">
        <f aca="false">IF(OR(E134="",D134=""),"",E134/D134-1)</f>
        <v/>
      </c>
    </row>
    <row r="135" customFormat="false" ht="15" hidden="false" customHeight="false" outlineLevel="0" collapsed="false">
      <c r="A135" s="6" t="s">
        <v>544</v>
      </c>
      <c r="B135" s="7" t="s">
        <v>545</v>
      </c>
      <c r="C135" s="8" t="s">
        <v>546</v>
      </c>
      <c r="D135" s="8"/>
      <c r="E135" s="8" t="n">
        <v>1250</v>
      </c>
      <c r="F135" s="7" t="s">
        <v>65</v>
      </c>
      <c r="G135" s="6" t="s">
        <v>38</v>
      </c>
      <c r="H135" s="7" t="s">
        <v>547</v>
      </c>
      <c r="I135" s="9" t="str">
        <f aca="false">IF(OR(E135="",D135=""),"",E135/D135-1)</f>
        <v/>
      </c>
    </row>
    <row r="136" customFormat="false" ht="15" hidden="false" customHeight="false" outlineLevel="0" collapsed="false">
      <c r="A136" s="2" t="s">
        <v>548</v>
      </c>
      <c r="B136" s="3" t="s">
        <v>549</v>
      </c>
      <c r="C136" s="4" t="s">
        <v>550</v>
      </c>
      <c r="D136" s="4"/>
      <c r="E136" s="4" t="n">
        <v>505</v>
      </c>
      <c r="F136" s="3" t="s">
        <v>551</v>
      </c>
      <c r="G136" s="2" t="s">
        <v>13</v>
      </c>
      <c r="H136" s="3"/>
      <c r="I136" s="5" t="str">
        <f aca="false">IF(OR(E136="",D136=""),"",E136/D136-1)</f>
        <v/>
      </c>
    </row>
    <row r="137" customFormat="false" ht="15" hidden="false" customHeight="false" outlineLevel="0" collapsed="false">
      <c r="A137" s="2" t="s">
        <v>552</v>
      </c>
      <c r="B137" s="3" t="s">
        <v>553</v>
      </c>
      <c r="C137" s="4" t="s">
        <v>554</v>
      </c>
      <c r="D137" s="4"/>
      <c r="E137" s="4" t="n">
        <v>935</v>
      </c>
      <c r="F137" s="3" t="s">
        <v>555</v>
      </c>
      <c r="G137" s="2" t="s">
        <v>13</v>
      </c>
      <c r="H137" s="3"/>
      <c r="I137" s="5" t="str">
        <f aca="false">IF(OR(E137="",D137=""),"",E137/D137-1)</f>
        <v/>
      </c>
    </row>
    <row r="138" customFormat="false" ht="15" hidden="false" customHeight="false" outlineLevel="0" collapsed="false">
      <c r="A138" s="2" t="s">
        <v>556</v>
      </c>
      <c r="B138" s="3" t="s">
        <v>557</v>
      </c>
      <c r="C138" s="4" t="s">
        <v>558</v>
      </c>
      <c r="D138" s="4"/>
      <c r="E138" s="4" t="n">
        <v>1000</v>
      </c>
      <c r="F138" s="3" t="s">
        <v>559</v>
      </c>
      <c r="G138" s="2" t="s">
        <v>13</v>
      </c>
      <c r="H138" s="3"/>
      <c r="I138" s="5" t="str">
        <f aca="false">IF(OR(E138="",D138=""),"",E138/D138-1)</f>
        <v/>
      </c>
    </row>
    <row r="139" customFormat="false" ht="23.85" hidden="false" customHeight="false" outlineLevel="0" collapsed="false">
      <c r="A139" s="2" t="s">
        <v>560</v>
      </c>
      <c r="B139" s="3" t="s">
        <v>561</v>
      </c>
      <c r="C139" s="4" t="s">
        <v>562</v>
      </c>
      <c r="D139" s="4"/>
      <c r="E139" s="4" t="n">
        <v>380</v>
      </c>
      <c r="F139" s="3" t="s">
        <v>563</v>
      </c>
      <c r="G139" s="2" t="s">
        <v>13</v>
      </c>
      <c r="H139" s="3"/>
      <c r="I139" s="5" t="str">
        <f aca="false">IF(OR(E139="",D139=""),"",E139/D139-1)</f>
        <v/>
      </c>
    </row>
    <row r="140" customFormat="false" ht="15" hidden="false" customHeight="false" outlineLevel="0" collapsed="false">
      <c r="A140" s="2" t="s">
        <v>564</v>
      </c>
      <c r="B140" s="3" t="s">
        <v>565</v>
      </c>
      <c r="C140" s="4" t="s">
        <v>566</v>
      </c>
      <c r="D140" s="4"/>
      <c r="E140" s="4" t="n">
        <v>285</v>
      </c>
      <c r="F140" s="3" t="s">
        <v>567</v>
      </c>
      <c r="G140" s="2" t="s">
        <v>13</v>
      </c>
      <c r="H140" s="3"/>
      <c r="I140" s="5" t="str">
        <f aca="false">IF(OR(E140="",D140=""),"",E140/D140-1)</f>
        <v/>
      </c>
    </row>
    <row r="141" customFormat="false" ht="23.85" hidden="false" customHeight="false" outlineLevel="0" collapsed="false">
      <c r="A141" s="2" t="s">
        <v>568</v>
      </c>
      <c r="B141" s="3" t="s">
        <v>569</v>
      </c>
      <c r="C141" s="4" t="s">
        <v>570</v>
      </c>
      <c r="D141" s="4"/>
      <c r="E141" s="4" t="n">
        <v>325</v>
      </c>
      <c r="F141" s="3" t="s">
        <v>571</v>
      </c>
      <c r="G141" s="2" t="s">
        <v>13</v>
      </c>
      <c r="H141" s="3"/>
      <c r="I141" s="5" t="str">
        <f aca="false">IF(OR(E141="",D141=""),"",E141/D141-1)</f>
        <v/>
      </c>
    </row>
    <row r="142" customFormat="false" ht="15" hidden="false" customHeight="false" outlineLevel="0" collapsed="false">
      <c r="A142" s="2" t="s">
        <v>572</v>
      </c>
      <c r="B142" s="3" t="s">
        <v>573</v>
      </c>
      <c r="C142" s="4" t="s">
        <v>574</v>
      </c>
      <c r="D142" s="4"/>
      <c r="E142" s="4" t="n">
        <v>1240</v>
      </c>
      <c r="F142" s="3" t="s">
        <v>575</v>
      </c>
      <c r="G142" s="2" t="s">
        <v>13</v>
      </c>
      <c r="H142" s="3"/>
      <c r="I142" s="5" t="str">
        <f aca="false">IF(OR(E142="",D142=""),"",E142/D142-1)</f>
        <v/>
      </c>
    </row>
    <row r="143" customFormat="false" ht="15" hidden="false" customHeight="false" outlineLevel="0" collapsed="false">
      <c r="A143" s="2" t="s">
        <v>576</v>
      </c>
      <c r="B143" s="3" t="s">
        <v>577</v>
      </c>
      <c r="C143" s="4" t="s">
        <v>578</v>
      </c>
      <c r="D143" s="4" t="n">
        <v>1077</v>
      </c>
      <c r="E143" s="4" t="n">
        <v>1200</v>
      </c>
      <c r="F143" s="3" t="s">
        <v>579</v>
      </c>
      <c r="G143" s="2" t="s">
        <v>13</v>
      </c>
      <c r="H143" s="3"/>
      <c r="I143" s="5" t="n">
        <f aca="false">IF(OR(E143="",D143=""),"",E143/D143-1)</f>
        <v>0.114206128133705</v>
      </c>
    </row>
    <row r="144" customFormat="false" ht="15" hidden="false" customHeight="false" outlineLevel="0" collapsed="false">
      <c r="A144" s="2" t="s">
        <v>580</v>
      </c>
      <c r="B144" s="3" t="s">
        <v>581</v>
      </c>
      <c r="C144" s="4" t="s">
        <v>582</v>
      </c>
      <c r="D144" s="4"/>
      <c r="E144" s="4" t="n">
        <v>1240</v>
      </c>
      <c r="F144" s="3" t="s">
        <v>583</v>
      </c>
      <c r="G144" s="2" t="s">
        <v>13</v>
      </c>
      <c r="H144" s="3"/>
      <c r="I144" s="5" t="str">
        <f aca="false">IF(OR(E144="",D144=""),"",E144/D144-1)</f>
        <v/>
      </c>
    </row>
    <row r="145" customFormat="false" ht="15" hidden="false" customHeight="false" outlineLevel="0" collapsed="false">
      <c r="A145" s="2" t="s">
        <v>584</v>
      </c>
      <c r="B145" s="3" t="s">
        <v>585</v>
      </c>
      <c r="C145" s="4" t="s">
        <v>36</v>
      </c>
      <c r="D145" s="4"/>
      <c r="E145" s="4" t="n">
        <v>480</v>
      </c>
      <c r="F145" s="3" t="s">
        <v>23</v>
      </c>
      <c r="G145" s="2" t="s">
        <v>13</v>
      </c>
      <c r="H145" s="3" t="s">
        <v>586</v>
      </c>
      <c r="I145" s="5" t="str">
        <f aca="false">IF(OR(E145="",D145=""),"",E145/D145-1)</f>
        <v/>
      </c>
    </row>
    <row r="146" customFormat="false" ht="15" hidden="false" customHeight="false" outlineLevel="0" collapsed="false">
      <c r="A146" s="2" t="s">
        <v>587</v>
      </c>
      <c r="B146" s="3" t="s">
        <v>588</v>
      </c>
      <c r="C146" s="4" t="s">
        <v>589</v>
      </c>
      <c r="D146" s="4"/>
      <c r="E146" s="4" t="n">
        <v>1140</v>
      </c>
      <c r="F146" s="3" t="s">
        <v>590</v>
      </c>
      <c r="G146" s="2" t="s">
        <v>13</v>
      </c>
      <c r="H146" s="3"/>
      <c r="I146" s="5" t="str">
        <f aca="false">IF(OR(E146="",D146=""),"",E146/D146-1)</f>
        <v/>
      </c>
    </row>
    <row r="147" customFormat="false" ht="15" hidden="false" customHeight="false" outlineLevel="0" collapsed="false">
      <c r="A147" s="2" t="s">
        <v>591</v>
      </c>
      <c r="B147" s="3" t="s">
        <v>592</v>
      </c>
      <c r="C147" s="4" t="s">
        <v>593</v>
      </c>
      <c r="D147" s="4"/>
      <c r="E147" s="4" t="n">
        <v>1395</v>
      </c>
      <c r="F147" s="3" t="s">
        <v>594</v>
      </c>
      <c r="G147" s="2" t="s">
        <v>13</v>
      </c>
      <c r="H147" s="3"/>
      <c r="I147" s="5" t="str">
        <f aca="false">IF(OR(E147="",D147=""),"",E147/D147-1)</f>
        <v/>
      </c>
    </row>
    <row r="148" customFormat="false" ht="15" hidden="false" customHeight="false" outlineLevel="0" collapsed="false">
      <c r="A148" s="2" t="s">
        <v>595</v>
      </c>
      <c r="B148" s="3" t="s">
        <v>596</v>
      </c>
      <c r="C148" s="4" t="s">
        <v>582</v>
      </c>
      <c r="D148" s="4"/>
      <c r="E148" s="4" t="n">
        <v>1240</v>
      </c>
      <c r="F148" s="3" t="s">
        <v>597</v>
      </c>
      <c r="G148" s="2" t="s">
        <v>13</v>
      </c>
      <c r="H148" s="3"/>
      <c r="I148" s="5" t="str">
        <f aca="false">IF(OR(E148="",D148=""),"",E148/D148-1)</f>
        <v/>
      </c>
    </row>
    <row r="149" customFormat="false" ht="15" hidden="false" customHeight="false" outlineLevel="0" collapsed="false">
      <c r="A149" s="2" t="s">
        <v>598</v>
      </c>
      <c r="B149" s="3" t="s">
        <v>599</v>
      </c>
      <c r="C149" s="4" t="s">
        <v>600</v>
      </c>
      <c r="D149" s="4"/>
      <c r="E149" s="4" t="n">
        <v>2105</v>
      </c>
      <c r="F149" s="3" t="s">
        <v>601</v>
      </c>
      <c r="G149" s="2" t="s">
        <v>13</v>
      </c>
      <c r="H149" s="3"/>
      <c r="I149" s="5" t="str">
        <f aca="false">IF(OR(E149="",D149=""),"",E149/D149-1)</f>
        <v/>
      </c>
    </row>
    <row r="150" customFormat="false" ht="15" hidden="false" customHeight="false" outlineLevel="0" collapsed="false">
      <c r="A150" s="2" t="s">
        <v>602</v>
      </c>
      <c r="B150" s="3" t="s">
        <v>603</v>
      </c>
      <c r="C150" s="4" t="s">
        <v>604</v>
      </c>
      <c r="D150" s="4"/>
      <c r="E150" s="4" t="n">
        <v>1600</v>
      </c>
      <c r="F150" s="3" t="s">
        <v>252</v>
      </c>
      <c r="G150" s="2" t="s">
        <v>24</v>
      </c>
      <c r="H150" s="3" t="s">
        <v>605</v>
      </c>
      <c r="I150" s="5" t="str">
        <f aca="false">IF(OR(E150="",D150=""),"",E150/D150-1)</f>
        <v/>
      </c>
    </row>
    <row r="151" customFormat="false" ht="15" hidden="false" customHeight="false" outlineLevel="0" collapsed="false">
      <c r="A151" s="2" t="s">
        <v>606</v>
      </c>
      <c r="B151" s="3" t="s">
        <v>607</v>
      </c>
      <c r="C151" s="4" t="s">
        <v>608</v>
      </c>
      <c r="D151" s="4"/>
      <c r="E151" s="4" t="n">
        <v>2185</v>
      </c>
      <c r="F151" s="3" t="s">
        <v>609</v>
      </c>
      <c r="G151" s="2" t="s">
        <v>13</v>
      </c>
      <c r="H151" s="3"/>
      <c r="I151" s="5" t="str">
        <f aca="false">IF(OR(E151="",D151=""),"",E151/D151-1)</f>
        <v/>
      </c>
    </row>
    <row r="152" customFormat="false" ht="15" hidden="false" customHeight="false" outlineLevel="0" collapsed="false">
      <c r="A152" s="2" t="s">
        <v>610</v>
      </c>
      <c r="B152" s="3" t="s">
        <v>611</v>
      </c>
      <c r="C152" s="4" t="s">
        <v>612</v>
      </c>
      <c r="D152" s="4"/>
      <c r="E152" s="4" t="n">
        <v>2265</v>
      </c>
      <c r="F152" s="3" t="s">
        <v>613</v>
      </c>
      <c r="G152" s="2" t="s">
        <v>13</v>
      </c>
      <c r="H152" s="3"/>
      <c r="I152" s="5" t="str">
        <f aca="false">IF(OR(E152="",D152=""),"",E152/D152-1)</f>
        <v/>
      </c>
    </row>
    <row r="153" customFormat="false" ht="15" hidden="false" customHeight="false" outlineLevel="0" collapsed="false">
      <c r="A153" s="2" t="s">
        <v>614</v>
      </c>
      <c r="B153" s="3" t="s">
        <v>615</v>
      </c>
      <c r="C153" s="4" t="s">
        <v>616</v>
      </c>
      <c r="D153" s="4"/>
      <c r="E153" s="4" t="n">
        <v>2585</v>
      </c>
      <c r="F153" s="3" t="s">
        <v>617</v>
      </c>
      <c r="G153" s="2" t="s">
        <v>13</v>
      </c>
      <c r="H153" s="3"/>
      <c r="I153" s="5" t="str">
        <f aca="false">IF(OR(E153="",D153=""),"",E153/D153-1)</f>
        <v/>
      </c>
    </row>
    <row r="154" customFormat="false" ht="15" hidden="false" customHeight="false" outlineLevel="0" collapsed="false">
      <c r="A154" s="2" t="s">
        <v>618</v>
      </c>
      <c r="B154" s="3" t="s">
        <v>619</v>
      </c>
      <c r="C154" s="4" t="s">
        <v>620</v>
      </c>
      <c r="D154" s="4"/>
      <c r="E154" s="4" t="n">
        <v>260</v>
      </c>
      <c r="F154" s="3" t="s">
        <v>621</v>
      </c>
      <c r="G154" s="2" t="s">
        <v>13</v>
      </c>
      <c r="H154" s="3"/>
      <c r="I154" s="5" t="str">
        <f aca="false">IF(OR(E154="",D154=""),"",E154/D154-1)</f>
        <v/>
      </c>
    </row>
    <row r="155" customFormat="false" ht="15" hidden="false" customHeight="false" outlineLevel="0" collapsed="false">
      <c r="A155" s="2" t="s">
        <v>622</v>
      </c>
      <c r="B155" s="3" t="s">
        <v>623</v>
      </c>
      <c r="C155" s="4" t="s">
        <v>624</v>
      </c>
      <c r="D155" s="4"/>
      <c r="E155" s="4" t="n">
        <v>175</v>
      </c>
      <c r="F155" s="3" t="s">
        <v>625</v>
      </c>
      <c r="G155" s="2" t="s">
        <v>13</v>
      </c>
      <c r="H155" s="3"/>
      <c r="I155" s="5" t="str">
        <f aca="false">IF(OR(E155="",D155=""),"",E155/D155-1)</f>
        <v/>
      </c>
    </row>
    <row r="156" customFormat="false" ht="23.85" hidden="false" customHeight="false" outlineLevel="0" collapsed="false">
      <c r="A156" s="2" t="s">
        <v>626</v>
      </c>
      <c r="B156" s="3" t="s">
        <v>627</v>
      </c>
      <c r="C156" s="4" t="s">
        <v>628</v>
      </c>
      <c r="D156" s="4"/>
      <c r="E156" s="4" t="n">
        <v>1700</v>
      </c>
      <c r="F156" s="3" t="s">
        <v>257</v>
      </c>
      <c r="G156" s="2" t="s">
        <v>13</v>
      </c>
      <c r="H156" s="3"/>
      <c r="I156" s="5" t="str">
        <f aca="false">IF(OR(E156="",D156=""),"",E156/D156-1)</f>
        <v/>
      </c>
    </row>
    <row r="157" customFormat="false" ht="15" hidden="false" customHeight="false" outlineLevel="0" collapsed="false">
      <c r="A157" s="2" t="s">
        <v>629</v>
      </c>
      <c r="B157" s="3" t="s">
        <v>630</v>
      </c>
      <c r="C157" s="4" t="s">
        <v>631</v>
      </c>
      <c r="D157" s="4"/>
      <c r="E157" s="4" t="n">
        <v>1700</v>
      </c>
      <c r="F157" s="3" t="s">
        <v>632</v>
      </c>
      <c r="G157" s="2" t="s">
        <v>13</v>
      </c>
      <c r="H157" s="3"/>
      <c r="I157" s="5" t="str">
        <f aca="false">IF(OR(E157="",D157=""),"",E157/D157-1)</f>
        <v/>
      </c>
    </row>
    <row r="158" customFormat="false" ht="15" hidden="false" customHeight="false" outlineLevel="0" collapsed="false">
      <c r="A158" s="2" t="s">
        <v>633</v>
      </c>
      <c r="B158" s="3" t="s">
        <v>634</v>
      </c>
      <c r="C158" s="4" t="s">
        <v>635</v>
      </c>
      <c r="D158" s="4"/>
      <c r="E158" s="4" t="n">
        <v>1750</v>
      </c>
      <c r="F158" s="3" t="s">
        <v>636</v>
      </c>
      <c r="G158" s="2" t="s">
        <v>13</v>
      </c>
      <c r="H158" s="3"/>
      <c r="I158" s="5" t="str">
        <f aca="false">IF(OR(E158="",D158=""),"",E158/D158-1)</f>
        <v/>
      </c>
    </row>
    <row r="159" customFormat="false" ht="23.85" hidden="false" customHeight="false" outlineLevel="0" collapsed="false">
      <c r="A159" s="2" t="s">
        <v>637</v>
      </c>
      <c r="B159" s="3" t="s">
        <v>638</v>
      </c>
      <c r="C159" s="4" t="s">
        <v>260</v>
      </c>
      <c r="D159" s="4"/>
      <c r="E159" s="4" t="n">
        <v>1800</v>
      </c>
      <c r="F159" s="3" t="s">
        <v>261</v>
      </c>
      <c r="G159" s="2" t="s">
        <v>13</v>
      </c>
      <c r="H159" s="3"/>
      <c r="I159" s="5" t="str">
        <f aca="false">IF(OR(E159="",D159=""),"",E159/D159-1)</f>
        <v/>
      </c>
    </row>
    <row r="160" customFormat="false" ht="23.85" hidden="false" customHeight="false" outlineLevel="0" collapsed="false">
      <c r="A160" s="2" t="s">
        <v>639</v>
      </c>
      <c r="B160" s="3" t="s">
        <v>640</v>
      </c>
      <c r="C160" s="4" t="s">
        <v>641</v>
      </c>
      <c r="D160" s="4"/>
      <c r="E160" s="4" t="n">
        <v>150</v>
      </c>
      <c r="F160" s="3" t="s">
        <v>642</v>
      </c>
      <c r="G160" s="2" t="s">
        <v>13</v>
      </c>
      <c r="H160" s="3"/>
      <c r="I160" s="5" t="str">
        <f aca="false">IF(OR(E160="",D160=""),"",E160/D160-1)</f>
        <v/>
      </c>
    </row>
    <row r="161" customFormat="false" ht="23.85" hidden="false" customHeight="false" outlineLevel="0" collapsed="false">
      <c r="A161" s="2" t="s">
        <v>643</v>
      </c>
      <c r="B161" s="3" t="s">
        <v>644</v>
      </c>
      <c r="C161" s="4" t="s">
        <v>645</v>
      </c>
      <c r="D161" s="4"/>
      <c r="E161" s="4" t="n">
        <v>115</v>
      </c>
      <c r="F161" s="3" t="s">
        <v>646</v>
      </c>
      <c r="G161" s="2" t="s">
        <v>13</v>
      </c>
      <c r="H161" s="3"/>
      <c r="I161" s="5" t="str">
        <f aca="false">IF(OR(E161="",D161=""),"",E161/D161-1)</f>
        <v/>
      </c>
    </row>
    <row r="162" customFormat="false" ht="15" hidden="false" customHeight="false" outlineLevel="0" collapsed="false">
      <c r="A162" s="2" t="s">
        <v>647</v>
      </c>
      <c r="B162" s="3" t="s">
        <v>648</v>
      </c>
      <c r="C162" s="4" t="s">
        <v>649</v>
      </c>
      <c r="D162" s="4"/>
      <c r="E162" s="4" t="n">
        <v>100</v>
      </c>
      <c r="F162" s="3" t="s">
        <v>408</v>
      </c>
      <c r="G162" s="2" t="s">
        <v>13</v>
      </c>
      <c r="H162" s="3"/>
      <c r="I162" s="5" t="str">
        <f aca="false">IF(OR(E162="",D162=""),"",E162/D162-1)</f>
        <v/>
      </c>
    </row>
    <row r="163" customFormat="false" ht="15" hidden="false" customHeight="false" outlineLevel="0" collapsed="false">
      <c r="A163" s="6" t="s">
        <v>650</v>
      </c>
      <c r="B163" s="7" t="s">
        <v>651</v>
      </c>
      <c r="C163" s="8" t="s">
        <v>652</v>
      </c>
      <c r="D163" s="8"/>
      <c r="E163" s="8" t="n">
        <v>745</v>
      </c>
      <c r="F163" s="7" t="s">
        <v>653</v>
      </c>
      <c r="G163" s="6" t="s">
        <v>38</v>
      </c>
      <c r="H163" s="7" t="s">
        <v>654</v>
      </c>
      <c r="I163" s="9" t="str">
        <f aca="false">IF(OR(E163="",D163=""),"",E163/D163-1)</f>
        <v/>
      </c>
    </row>
    <row r="164" customFormat="false" ht="15" hidden="false" customHeight="false" outlineLevel="0" collapsed="false">
      <c r="A164" s="2" t="s">
        <v>655</v>
      </c>
      <c r="B164" s="3" t="s">
        <v>656</v>
      </c>
      <c r="C164" s="4" t="s">
        <v>657</v>
      </c>
      <c r="D164" s="4"/>
      <c r="E164" s="4" t="n">
        <v>385</v>
      </c>
      <c r="F164" s="3" t="s">
        <v>658</v>
      </c>
      <c r="G164" s="2" t="s">
        <v>13</v>
      </c>
      <c r="H164" s="3"/>
      <c r="I164" s="5" t="str">
        <f aca="false">IF(OR(E164="",D164=""),"",E164/D164-1)</f>
        <v/>
      </c>
    </row>
    <row r="165" customFormat="false" ht="15" hidden="false" customHeight="false" outlineLevel="0" collapsed="false">
      <c r="A165" s="2" t="s">
        <v>659</v>
      </c>
      <c r="B165" s="3" t="s">
        <v>660</v>
      </c>
      <c r="C165" s="4" t="s">
        <v>661</v>
      </c>
      <c r="D165" s="4"/>
      <c r="E165" s="4" t="n">
        <v>630</v>
      </c>
      <c r="F165" s="3" t="s">
        <v>662</v>
      </c>
      <c r="G165" s="2" t="s">
        <v>13</v>
      </c>
      <c r="H165" s="3"/>
      <c r="I165" s="5" t="str">
        <f aca="false">IF(OR(E165="",D165=""),"",E165/D165-1)</f>
        <v/>
      </c>
    </row>
    <row r="166" customFormat="false" ht="15" hidden="false" customHeight="false" outlineLevel="0" collapsed="false">
      <c r="A166" s="2" t="s">
        <v>663</v>
      </c>
      <c r="B166" s="3" t="s">
        <v>664</v>
      </c>
      <c r="C166" s="4" t="s">
        <v>51</v>
      </c>
      <c r="D166" s="4"/>
      <c r="E166" s="4" t="n">
        <v>880</v>
      </c>
      <c r="F166" s="3" t="s">
        <v>665</v>
      </c>
      <c r="G166" s="2" t="s">
        <v>13</v>
      </c>
      <c r="H166" s="3"/>
      <c r="I166" s="5" t="str">
        <f aca="false">IF(OR(E166="",D166=""),"",E166/D166-1)</f>
        <v/>
      </c>
    </row>
    <row r="167" customFormat="false" ht="15" hidden="false" customHeight="false" outlineLevel="0" collapsed="false">
      <c r="A167" s="2" t="s">
        <v>666</v>
      </c>
      <c r="B167" s="3" t="s">
        <v>667</v>
      </c>
      <c r="C167" s="4" t="s">
        <v>51</v>
      </c>
      <c r="D167" s="4"/>
      <c r="E167" s="4" t="n">
        <v>880</v>
      </c>
      <c r="F167" s="3" t="s">
        <v>665</v>
      </c>
      <c r="G167" s="2" t="s">
        <v>13</v>
      </c>
      <c r="H167" s="3"/>
      <c r="I167" s="5" t="str">
        <f aca="false">IF(OR(E167="",D167=""),"",E167/D167-1)</f>
        <v/>
      </c>
    </row>
    <row r="168" customFormat="false" ht="15" hidden="false" customHeight="false" outlineLevel="0" collapsed="false">
      <c r="A168" s="2" t="s">
        <v>668</v>
      </c>
      <c r="B168" s="3" t="s">
        <v>669</v>
      </c>
      <c r="C168" s="4" t="s">
        <v>670</v>
      </c>
      <c r="D168" s="4"/>
      <c r="E168" s="4" t="n">
        <v>1255</v>
      </c>
      <c r="F168" s="3" t="s">
        <v>671</v>
      </c>
      <c r="G168" s="2" t="s">
        <v>13</v>
      </c>
      <c r="H168" s="3"/>
      <c r="I168" s="5" t="str">
        <f aca="false">IF(OR(E168="",D168=""),"",E168/D168-1)</f>
        <v/>
      </c>
    </row>
    <row r="169" customFormat="false" ht="15" hidden="false" customHeight="false" outlineLevel="0" collapsed="false">
      <c r="A169" s="2" t="s">
        <v>672</v>
      </c>
      <c r="B169" s="3" t="s">
        <v>673</v>
      </c>
      <c r="C169" s="4" t="s">
        <v>674</v>
      </c>
      <c r="D169" s="4"/>
      <c r="E169" s="4" t="n">
        <v>1475</v>
      </c>
      <c r="F169" s="3" t="s">
        <v>675</v>
      </c>
      <c r="G169" s="2" t="s">
        <v>13</v>
      </c>
      <c r="H169" s="3"/>
      <c r="I169" s="5" t="str">
        <f aca="false">IF(OR(E169="",D169=""),"",E169/D169-1)</f>
        <v/>
      </c>
    </row>
    <row r="170" customFormat="false" ht="23.85" hidden="false" customHeight="false" outlineLevel="0" collapsed="false">
      <c r="A170" s="2" t="s">
        <v>676</v>
      </c>
      <c r="B170" s="3" t="s">
        <v>677</v>
      </c>
      <c r="C170" s="4" t="s">
        <v>678</v>
      </c>
      <c r="D170" s="4"/>
      <c r="E170" s="4" t="n">
        <v>756</v>
      </c>
      <c r="F170" s="3" t="s">
        <v>679</v>
      </c>
      <c r="G170" s="2" t="s">
        <v>13</v>
      </c>
      <c r="H170" s="3"/>
      <c r="I170" s="5" t="str">
        <f aca="false">IF(OR(E170="",D170=""),"",E170/D170-1)</f>
        <v/>
      </c>
    </row>
    <row r="171" customFormat="false" ht="15" hidden="false" customHeight="false" outlineLevel="0" collapsed="false">
      <c r="A171" s="2" t="s">
        <v>680</v>
      </c>
      <c r="B171" s="3" t="s">
        <v>681</v>
      </c>
      <c r="C171" s="4" t="s">
        <v>682</v>
      </c>
      <c r="D171" s="4"/>
      <c r="E171" s="4" t="n">
        <v>315</v>
      </c>
      <c r="F171" s="3" t="s">
        <v>683</v>
      </c>
      <c r="G171" s="2" t="s">
        <v>13</v>
      </c>
      <c r="H171" s="3"/>
      <c r="I171" s="5" t="str">
        <f aca="false">IF(OR(E171="",D171=""),"",E171/D171-1)</f>
        <v/>
      </c>
    </row>
    <row r="172" customFormat="false" ht="15" hidden="false" customHeight="false" outlineLevel="0" collapsed="false">
      <c r="A172" s="2" t="s">
        <v>684</v>
      </c>
      <c r="B172" s="3" t="s">
        <v>685</v>
      </c>
      <c r="C172" s="4" t="s">
        <v>686</v>
      </c>
      <c r="D172" s="4"/>
      <c r="E172" s="4" t="n">
        <v>385</v>
      </c>
      <c r="F172" s="3" t="s">
        <v>687</v>
      </c>
      <c r="G172" s="2" t="s">
        <v>13</v>
      </c>
      <c r="H172" s="3"/>
      <c r="I172" s="5" t="str">
        <f aca="false">IF(OR(E172="",D172=""),"",E172/D172-1)</f>
        <v/>
      </c>
    </row>
    <row r="173" customFormat="false" ht="15" hidden="false" customHeight="false" outlineLevel="0" collapsed="false">
      <c r="A173" s="2" t="s">
        <v>688</v>
      </c>
      <c r="B173" s="3" t="s">
        <v>689</v>
      </c>
      <c r="C173" s="4" t="s">
        <v>690</v>
      </c>
      <c r="D173" s="4"/>
      <c r="E173" s="4" t="n">
        <v>295</v>
      </c>
      <c r="F173" s="3" t="s">
        <v>691</v>
      </c>
      <c r="G173" s="2" t="s">
        <v>13</v>
      </c>
      <c r="H173" s="3" t="s">
        <v>692</v>
      </c>
      <c r="I173" s="5" t="str">
        <f aca="false">IF(OR(E173="",D173=""),"",E173/D173-1)</f>
        <v/>
      </c>
    </row>
    <row r="174" customFormat="false" ht="15" hidden="false" customHeight="false" outlineLevel="0" collapsed="false">
      <c r="A174" s="2" t="s">
        <v>693</v>
      </c>
      <c r="B174" s="3" t="s">
        <v>694</v>
      </c>
      <c r="C174" s="4" t="s">
        <v>690</v>
      </c>
      <c r="D174" s="4"/>
      <c r="E174" s="4" t="n">
        <v>300</v>
      </c>
      <c r="F174" s="3" t="s">
        <v>695</v>
      </c>
      <c r="G174" s="2" t="s">
        <v>13</v>
      </c>
      <c r="H174" s="3"/>
      <c r="I174" s="5" t="str">
        <f aca="false">IF(OR(E174="",D174=""),"",E174/D174-1)</f>
        <v/>
      </c>
    </row>
    <row r="175" customFormat="false" ht="15" hidden="false" customHeight="false" outlineLevel="0" collapsed="false">
      <c r="A175" s="2" t="s">
        <v>696</v>
      </c>
      <c r="B175" s="3" t="s">
        <v>697</v>
      </c>
      <c r="C175" s="4" t="s">
        <v>36</v>
      </c>
      <c r="D175" s="4"/>
      <c r="E175" s="4" t="n">
        <v>350</v>
      </c>
      <c r="F175" s="3" t="s">
        <v>698</v>
      </c>
      <c r="G175" s="2" t="s">
        <v>13</v>
      </c>
      <c r="H175" s="3"/>
      <c r="I175" s="5" t="str">
        <f aca="false">IF(OR(E175="",D175=""),"",E175/D175-1)</f>
        <v/>
      </c>
    </row>
    <row r="176" customFormat="false" ht="15" hidden="false" customHeight="false" outlineLevel="0" collapsed="false">
      <c r="A176" s="2" t="s">
        <v>699</v>
      </c>
      <c r="B176" s="3" t="s">
        <v>700</v>
      </c>
      <c r="C176" s="4" t="s">
        <v>701</v>
      </c>
      <c r="D176" s="4"/>
      <c r="E176" s="4" t="n">
        <v>630</v>
      </c>
      <c r="F176" s="3" t="s">
        <v>702</v>
      </c>
      <c r="G176" s="2" t="s">
        <v>13</v>
      </c>
      <c r="H176" s="3"/>
      <c r="I176" s="5" t="str">
        <f aca="false">IF(OR(E176="",D176=""),"",E176/D176-1)</f>
        <v/>
      </c>
    </row>
    <row r="177" customFormat="false" ht="15" hidden="false" customHeight="false" outlineLevel="0" collapsed="false">
      <c r="A177" s="2" t="s">
        <v>703</v>
      </c>
      <c r="B177" s="3" t="s">
        <v>704</v>
      </c>
      <c r="C177" s="4" t="s">
        <v>705</v>
      </c>
      <c r="D177" s="4" t="n">
        <v>343</v>
      </c>
      <c r="E177" s="4" t="n">
        <v>385</v>
      </c>
      <c r="F177" s="3" t="s">
        <v>706</v>
      </c>
      <c r="G177" s="2" t="s">
        <v>24</v>
      </c>
      <c r="H177" s="3" t="s">
        <v>707</v>
      </c>
      <c r="I177" s="5" t="n">
        <f aca="false">IF(OR(E177="",D177=""),"",E177/D177-1)</f>
        <v>0.122448979591837</v>
      </c>
    </row>
    <row r="178" customFormat="false" ht="15" hidden="false" customHeight="false" outlineLevel="0" collapsed="false">
      <c r="A178" s="2" t="s">
        <v>708</v>
      </c>
      <c r="B178" s="3" t="s">
        <v>709</v>
      </c>
      <c r="C178" s="4" t="s">
        <v>51</v>
      </c>
      <c r="D178" s="4"/>
      <c r="E178" s="4" t="n">
        <v>880</v>
      </c>
      <c r="F178" s="3" t="s">
        <v>710</v>
      </c>
      <c r="G178" s="2" t="s">
        <v>13</v>
      </c>
      <c r="H178" s="3"/>
      <c r="I178" s="5" t="str">
        <f aca="false">IF(OR(E178="",D178=""),"",E178/D178-1)</f>
        <v/>
      </c>
    </row>
    <row r="179" customFormat="false" ht="15" hidden="false" customHeight="false" outlineLevel="0" collapsed="false">
      <c r="A179" s="2" t="s">
        <v>711</v>
      </c>
      <c r="B179" s="3" t="s">
        <v>712</v>
      </c>
      <c r="C179" s="4" t="s">
        <v>713</v>
      </c>
      <c r="D179" s="4"/>
      <c r="E179" s="4" t="n">
        <v>820</v>
      </c>
      <c r="F179" s="3" t="s">
        <v>714</v>
      </c>
      <c r="G179" s="2" t="s">
        <v>13</v>
      </c>
      <c r="H179" s="3"/>
      <c r="I179" s="5" t="str">
        <f aca="false">IF(OR(E179="",D179=""),"",E179/D179-1)</f>
        <v/>
      </c>
    </row>
    <row r="180" customFormat="false" ht="15" hidden="false" customHeight="false" outlineLevel="0" collapsed="false">
      <c r="A180" s="2" t="s">
        <v>715</v>
      </c>
      <c r="B180" s="3" t="s">
        <v>716</v>
      </c>
      <c r="C180" s="4" t="s">
        <v>701</v>
      </c>
      <c r="D180" s="4"/>
      <c r="E180" s="4" t="n">
        <v>585</v>
      </c>
      <c r="F180" s="3" t="s">
        <v>717</v>
      </c>
      <c r="G180" s="2" t="s">
        <v>13</v>
      </c>
      <c r="H180" s="3"/>
      <c r="I180" s="5" t="str">
        <f aca="false">IF(OR(E180="",D180=""),"",E180/D180-1)</f>
        <v/>
      </c>
    </row>
    <row r="181" customFormat="false" ht="15" hidden="false" customHeight="false" outlineLevel="0" collapsed="false">
      <c r="A181" s="2" t="s">
        <v>718</v>
      </c>
      <c r="B181" s="3" t="s">
        <v>719</v>
      </c>
      <c r="C181" s="4" t="s">
        <v>36</v>
      </c>
      <c r="D181" s="4"/>
      <c r="E181" s="4" t="n">
        <v>350</v>
      </c>
      <c r="F181" s="3" t="s">
        <v>720</v>
      </c>
      <c r="G181" s="2" t="s">
        <v>13</v>
      </c>
      <c r="H181" s="3"/>
      <c r="I181" s="5" t="str">
        <f aca="false">IF(OR(E181="",D181=""),"",E181/D181-1)</f>
        <v/>
      </c>
    </row>
    <row r="182" customFormat="false" ht="15" hidden="false" customHeight="false" outlineLevel="0" collapsed="false">
      <c r="A182" s="2" t="s">
        <v>721</v>
      </c>
      <c r="B182" s="3" t="s">
        <v>722</v>
      </c>
      <c r="C182" s="4" t="s">
        <v>686</v>
      </c>
      <c r="D182" s="4"/>
      <c r="E182" s="4" t="n">
        <v>405</v>
      </c>
      <c r="F182" s="3" t="s">
        <v>723</v>
      </c>
      <c r="G182" s="2" t="s">
        <v>13</v>
      </c>
      <c r="H182" s="3"/>
      <c r="I182" s="5" t="str">
        <f aca="false">IF(OR(E182="",D182=""),"",E182/D182-1)</f>
        <v/>
      </c>
    </row>
    <row r="183" customFormat="false" ht="15" hidden="false" customHeight="false" outlineLevel="0" collapsed="false">
      <c r="A183" s="2" t="s">
        <v>724</v>
      </c>
      <c r="B183" s="3" t="s">
        <v>725</v>
      </c>
      <c r="C183" s="4" t="s">
        <v>726</v>
      </c>
      <c r="D183" s="4"/>
      <c r="E183" s="4" t="n">
        <v>475</v>
      </c>
      <c r="F183" s="3" t="s">
        <v>727</v>
      </c>
      <c r="G183" s="2" t="s">
        <v>13</v>
      </c>
      <c r="H183" s="3"/>
      <c r="I183" s="5" t="str">
        <f aca="false">IF(OR(E183="",D183=""),"",E183/D183-1)</f>
        <v/>
      </c>
    </row>
    <row r="184" customFormat="false" ht="15" hidden="false" customHeight="false" outlineLevel="0" collapsed="false">
      <c r="A184" s="2" t="s">
        <v>728</v>
      </c>
      <c r="B184" s="3" t="s">
        <v>729</v>
      </c>
      <c r="C184" s="4" t="s">
        <v>730</v>
      </c>
      <c r="D184" s="4"/>
      <c r="E184" s="4" t="n">
        <v>115</v>
      </c>
      <c r="F184" s="3" t="s">
        <v>731</v>
      </c>
      <c r="G184" s="2" t="s">
        <v>13</v>
      </c>
      <c r="H184" s="3"/>
      <c r="I184" s="5" t="str">
        <f aca="false">IF(OR(E184="",D184=""),"",E184/D184-1)</f>
        <v/>
      </c>
    </row>
    <row r="185" customFormat="false" ht="15" hidden="false" customHeight="false" outlineLevel="0" collapsed="false">
      <c r="A185" s="2" t="s">
        <v>732</v>
      </c>
      <c r="B185" s="3" t="s">
        <v>733</v>
      </c>
      <c r="C185" s="4" t="s">
        <v>734</v>
      </c>
      <c r="D185" s="4"/>
      <c r="E185" s="4" t="n">
        <v>108</v>
      </c>
      <c r="F185" s="3" t="s">
        <v>735</v>
      </c>
      <c r="G185" s="2" t="s">
        <v>13</v>
      </c>
      <c r="H185" s="3"/>
      <c r="I185" s="5" t="str">
        <f aca="false">IF(OR(E185="",D185=""),"",E185/D185-1)</f>
        <v/>
      </c>
    </row>
    <row r="186" customFormat="false" ht="15" hidden="false" customHeight="false" outlineLevel="0" collapsed="false">
      <c r="A186" s="2" t="s">
        <v>736</v>
      </c>
      <c r="B186" s="3" t="s">
        <v>737</v>
      </c>
      <c r="C186" s="4" t="s">
        <v>738</v>
      </c>
      <c r="D186" s="4"/>
      <c r="E186" s="4" t="n">
        <v>160</v>
      </c>
      <c r="F186" s="3" t="s">
        <v>739</v>
      </c>
      <c r="G186" s="2" t="s">
        <v>13</v>
      </c>
      <c r="H186" s="3"/>
      <c r="I186" s="5" t="str">
        <f aca="false">IF(OR(E186="",D186=""),"",E186/D186-1)</f>
        <v/>
      </c>
    </row>
    <row r="187" customFormat="false" ht="15" hidden="false" customHeight="false" outlineLevel="0" collapsed="false">
      <c r="A187" s="2" t="s">
        <v>740</v>
      </c>
      <c r="B187" s="3" t="s">
        <v>741</v>
      </c>
      <c r="C187" s="4" t="s">
        <v>742</v>
      </c>
      <c r="D187" s="4"/>
      <c r="E187" s="4" t="n">
        <v>275</v>
      </c>
      <c r="F187" s="3" t="s">
        <v>743</v>
      </c>
      <c r="G187" s="2" t="s">
        <v>13</v>
      </c>
      <c r="H187" s="3"/>
      <c r="I187" s="5" t="str">
        <f aca="false">IF(OR(E187="",D187=""),"",E187/D187-1)</f>
        <v/>
      </c>
    </row>
    <row r="188" customFormat="false" ht="15" hidden="false" customHeight="false" outlineLevel="0" collapsed="false">
      <c r="A188" s="2" t="s">
        <v>744</v>
      </c>
      <c r="B188" s="3" t="s">
        <v>745</v>
      </c>
      <c r="C188" s="4" t="s">
        <v>746</v>
      </c>
      <c r="D188" s="4"/>
      <c r="E188" s="4" t="n">
        <v>110</v>
      </c>
      <c r="F188" s="3" t="s">
        <v>747</v>
      </c>
      <c r="G188" s="2" t="s">
        <v>13</v>
      </c>
      <c r="H188" s="3" t="s">
        <v>748</v>
      </c>
      <c r="I188" s="5" t="str">
        <f aca="false">IF(OR(E188="",D188=""),"",E188/D188-1)</f>
        <v/>
      </c>
    </row>
    <row r="189" customFormat="false" ht="15" hidden="false" customHeight="false" outlineLevel="0" collapsed="false">
      <c r="A189" s="2" t="s">
        <v>749</v>
      </c>
      <c r="B189" s="3" t="s">
        <v>750</v>
      </c>
      <c r="C189" s="4" t="s">
        <v>54</v>
      </c>
      <c r="D189" s="4"/>
      <c r="E189" s="4" t="n">
        <v>295</v>
      </c>
      <c r="F189" s="3" t="s">
        <v>691</v>
      </c>
      <c r="G189" s="2" t="s">
        <v>24</v>
      </c>
      <c r="H189" s="3" t="s">
        <v>751</v>
      </c>
      <c r="I189" s="5" t="str">
        <f aca="false">IF(OR(E189="",D189=""),"",E189/D189-1)</f>
        <v/>
      </c>
    </row>
    <row r="190" customFormat="false" ht="15" hidden="false" customHeight="false" outlineLevel="0" collapsed="false">
      <c r="A190" s="6" t="s">
        <v>752</v>
      </c>
      <c r="B190" s="7" t="s">
        <v>753</v>
      </c>
      <c r="C190" s="8" t="s">
        <v>754</v>
      </c>
      <c r="D190" s="8"/>
      <c r="E190" s="8"/>
      <c r="F190" s="7"/>
      <c r="G190" s="6" t="s">
        <v>18</v>
      </c>
      <c r="H190" s="7" t="s">
        <v>755</v>
      </c>
      <c r="I190" s="9" t="str">
        <f aca="false">IF(OR(E190="",D190=""),"",E190/D190-1)</f>
        <v/>
      </c>
    </row>
    <row r="191" customFormat="false" ht="23.85" hidden="false" customHeight="false" outlineLevel="0" collapsed="false">
      <c r="A191" s="2" t="s">
        <v>756</v>
      </c>
      <c r="B191" s="3" t="s">
        <v>757</v>
      </c>
      <c r="C191" s="4" t="s">
        <v>758</v>
      </c>
      <c r="D191" s="4"/>
      <c r="E191" s="4" t="n">
        <v>830</v>
      </c>
      <c r="F191" s="3" t="s">
        <v>759</v>
      </c>
      <c r="G191" s="2" t="s">
        <v>13</v>
      </c>
      <c r="H191" s="3"/>
      <c r="I191" s="5" t="str">
        <f aca="false">IF(OR(E191="",D191=""),"",E191/D191-1)</f>
        <v/>
      </c>
    </row>
    <row r="192" customFormat="false" ht="15" hidden="false" customHeight="false" outlineLevel="0" collapsed="false">
      <c r="A192" s="2" t="s">
        <v>760</v>
      </c>
      <c r="B192" s="3" t="s">
        <v>761</v>
      </c>
      <c r="C192" s="4" t="s">
        <v>762</v>
      </c>
      <c r="D192" s="4"/>
      <c r="E192" s="4" t="n">
        <v>325</v>
      </c>
      <c r="F192" s="3" t="s">
        <v>763</v>
      </c>
      <c r="G192" s="2" t="s">
        <v>13</v>
      </c>
      <c r="H192" s="3" t="s">
        <v>764</v>
      </c>
      <c r="I192" s="5" t="str">
        <f aca="false">IF(OR(E192="",D192=""),"",E192/D192-1)</f>
        <v/>
      </c>
    </row>
    <row r="193" customFormat="false" ht="15" hidden="false" customHeight="false" outlineLevel="0" collapsed="false">
      <c r="A193" s="2" t="s">
        <v>765</v>
      </c>
      <c r="B193" s="3" t="s">
        <v>766</v>
      </c>
      <c r="C193" s="4" t="s">
        <v>51</v>
      </c>
      <c r="D193" s="4"/>
      <c r="E193" s="4" t="n">
        <v>880</v>
      </c>
      <c r="F193" s="3" t="s">
        <v>767</v>
      </c>
      <c r="G193" s="2" t="s">
        <v>24</v>
      </c>
      <c r="H193" s="3" t="s">
        <v>768</v>
      </c>
      <c r="I193" s="5" t="str">
        <f aca="false">IF(OR(E193="",D193=""),"",E193/D193-1)</f>
        <v/>
      </c>
    </row>
    <row r="194" customFormat="false" ht="23.85" hidden="false" customHeight="false" outlineLevel="0" collapsed="false">
      <c r="A194" s="6" t="s">
        <v>769</v>
      </c>
      <c r="B194" s="7" t="s">
        <v>770</v>
      </c>
      <c r="C194" s="8" t="s">
        <v>771</v>
      </c>
      <c r="D194" s="8"/>
      <c r="E194" s="8" t="n">
        <v>150</v>
      </c>
      <c r="F194" s="7" t="s">
        <v>772</v>
      </c>
      <c r="G194" s="6" t="s">
        <v>38</v>
      </c>
      <c r="H194" s="7" t="s">
        <v>773</v>
      </c>
      <c r="I194" s="9" t="str">
        <f aca="false">IF(OR(E194="",D194=""),"",E194/D194-1)</f>
        <v/>
      </c>
    </row>
    <row r="195" customFormat="false" ht="15" hidden="false" customHeight="false" outlineLevel="0" collapsed="false">
      <c r="A195" s="6" t="s">
        <v>774</v>
      </c>
      <c r="B195" s="7" t="s">
        <v>775</v>
      </c>
      <c r="C195" s="8" t="s">
        <v>754</v>
      </c>
      <c r="D195" s="8"/>
      <c r="E195" s="8"/>
      <c r="F195" s="7"/>
      <c r="G195" s="6" t="s">
        <v>18</v>
      </c>
      <c r="H195" s="7" t="s">
        <v>755</v>
      </c>
      <c r="I195" s="9" t="str">
        <f aca="false">IF(OR(E195="",D195=""),"",E195/D195-1)</f>
        <v/>
      </c>
    </row>
    <row r="196" customFormat="false" ht="15" hidden="false" customHeight="false" outlineLevel="0" collapsed="false">
      <c r="A196" s="6" t="s">
        <v>776</v>
      </c>
      <c r="B196" s="7" t="s">
        <v>777</v>
      </c>
      <c r="C196" s="8" t="s">
        <v>778</v>
      </c>
      <c r="D196" s="8"/>
      <c r="E196" s="8"/>
      <c r="F196" s="7"/>
      <c r="G196" s="6" t="s">
        <v>18</v>
      </c>
      <c r="H196" s="7" t="s">
        <v>779</v>
      </c>
      <c r="I196" s="9" t="str">
        <f aca="false">IF(OR(E196="",D196=""),"",E196/D196-1)</f>
        <v/>
      </c>
    </row>
    <row r="197" customFormat="false" ht="15" hidden="false" customHeight="false" outlineLevel="0" collapsed="false">
      <c r="A197" s="6" t="s">
        <v>780</v>
      </c>
      <c r="B197" s="7" t="s">
        <v>781</v>
      </c>
      <c r="C197" s="8" t="s">
        <v>778</v>
      </c>
      <c r="D197" s="8"/>
      <c r="E197" s="8"/>
      <c r="F197" s="7"/>
      <c r="G197" s="6" t="s">
        <v>18</v>
      </c>
      <c r="H197" s="7" t="s">
        <v>782</v>
      </c>
      <c r="I197" s="9" t="str">
        <f aca="false">IF(OR(E197="",D197=""),"",E197/D197-1)</f>
        <v/>
      </c>
    </row>
    <row r="198" customFormat="false" ht="15" hidden="false" customHeight="false" outlineLevel="0" collapsed="false">
      <c r="A198" s="2" t="s">
        <v>783</v>
      </c>
      <c r="B198" s="3" t="s">
        <v>784</v>
      </c>
      <c r="C198" s="4" t="s">
        <v>742</v>
      </c>
      <c r="D198" s="4"/>
      <c r="E198" s="4" t="n">
        <v>200</v>
      </c>
      <c r="F198" s="3" t="s">
        <v>785</v>
      </c>
      <c r="G198" s="2" t="s">
        <v>24</v>
      </c>
      <c r="H198" s="3" t="s">
        <v>786</v>
      </c>
      <c r="I198" s="5" t="str">
        <f aca="false">IF(OR(E198="",D198=""),"",E198/D198-1)</f>
        <v/>
      </c>
    </row>
    <row r="199" customFormat="false" ht="15" hidden="false" customHeight="false" outlineLevel="0" collapsed="false">
      <c r="A199" s="2" t="s">
        <v>787</v>
      </c>
      <c r="B199" s="3" t="s">
        <v>788</v>
      </c>
      <c r="C199" s="4" t="s">
        <v>789</v>
      </c>
      <c r="D199" s="4"/>
      <c r="E199" s="4" t="n">
        <v>115</v>
      </c>
      <c r="F199" s="3" t="s">
        <v>790</v>
      </c>
      <c r="G199" s="2" t="s">
        <v>13</v>
      </c>
      <c r="H199" s="3"/>
      <c r="I199" s="5" t="str">
        <f aca="false">IF(OR(E199="",D199=""),"",E199/D199-1)</f>
        <v/>
      </c>
    </row>
    <row r="200" customFormat="false" ht="15" hidden="false" customHeight="false" outlineLevel="0" collapsed="false">
      <c r="A200" s="2" t="s">
        <v>791</v>
      </c>
      <c r="B200" s="3" t="s">
        <v>792</v>
      </c>
      <c r="C200" s="4" t="s">
        <v>686</v>
      </c>
      <c r="D200" s="4"/>
      <c r="E200" s="4" t="n">
        <v>650</v>
      </c>
      <c r="F200" s="3" t="s">
        <v>793</v>
      </c>
      <c r="G200" s="2" t="s">
        <v>24</v>
      </c>
      <c r="H200" s="3"/>
      <c r="I200" s="5" t="str">
        <f aca="false">IF(OR(E200="",D200=""),"",E200/D200-1)</f>
        <v/>
      </c>
    </row>
    <row r="201" customFormat="false" ht="15" hidden="false" customHeight="false" outlineLevel="0" collapsed="false">
      <c r="A201" s="2" t="s">
        <v>794</v>
      </c>
      <c r="B201" s="3" t="s">
        <v>795</v>
      </c>
      <c r="C201" s="4" t="s">
        <v>796</v>
      </c>
      <c r="D201" s="4"/>
      <c r="E201" s="4" t="n">
        <v>550</v>
      </c>
      <c r="F201" s="3" t="s">
        <v>797</v>
      </c>
      <c r="G201" s="2" t="s">
        <v>13</v>
      </c>
      <c r="H201" s="3" t="s">
        <v>798</v>
      </c>
      <c r="I201" s="5" t="str">
        <f aca="false">IF(OR(E201="",D201=""),"",E201/D201-1)</f>
        <v/>
      </c>
    </row>
    <row r="202" customFormat="false" ht="15" hidden="false" customHeight="false" outlineLevel="0" collapsed="false">
      <c r="A202" s="2" t="s">
        <v>799</v>
      </c>
      <c r="B202" s="3" t="s">
        <v>800</v>
      </c>
      <c r="C202" s="4" t="s">
        <v>690</v>
      </c>
      <c r="D202" s="4"/>
      <c r="E202" s="4" t="n">
        <v>275</v>
      </c>
      <c r="F202" s="3" t="s">
        <v>801</v>
      </c>
      <c r="G202" s="2" t="s">
        <v>13</v>
      </c>
      <c r="H202" s="3"/>
      <c r="I202" s="5" t="str">
        <f aca="false">IF(OR(E202="",D202=""),"",E202/D202-1)</f>
        <v/>
      </c>
    </row>
    <row r="203" customFormat="false" ht="15" hidden="false" customHeight="false" outlineLevel="0" collapsed="false">
      <c r="A203" s="2" t="s">
        <v>802</v>
      </c>
      <c r="B203" s="3" t="s">
        <v>803</v>
      </c>
      <c r="C203" s="4" t="s">
        <v>804</v>
      </c>
      <c r="D203" s="4"/>
      <c r="E203" s="4" t="n">
        <v>3635</v>
      </c>
      <c r="F203" s="3" t="s">
        <v>805</v>
      </c>
      <c r="G203" s="2" t="s">
        <v>13</v>
      </c>
      <c r="H203" s="3"/>
      <c r="I203" s="5" t="str">
        <f aca="false">IF(OR(E203="",D203=""),"",E203/D203-1)</f>
        <v/>
      </c>
    </row>
    <row r="204" customFormat="false" ht="15" hidden="false" customHeight="false" outlineLevel="0" collapsed="false">
      <c r="A204" s="2" t="s">
        <v>806</v>
      </c>
      <c r="B204" s="3" t="s">
        <v>807</v>
      </c>
      <c r="C204" s="4" t="s">
        <v>746</v>
      </c>
      <c r="D204" s="4"/>
      <c r="E204" s="4" t="n">
        <v>110</v>
      </c>
      <c r="F204" s="3" t="s">
        <v>747</v>
      </c>
      <c r="G204" s="2" t="s">
        <v>13</v>
      </c>
      <c r="H204" s="3" t="s">
        <v>748</v>
      </c>
      <c r="I204" s="5" t="str">
        <f aca="false">IF(OR(E204="",D204=""),"",E204/D204-1)</f>
        <v/>
      </c>
    </row>
    <row r="205" customFormat="false" ht="15" hidden="false" customHeight="false" outlineLevel="0" collapsed="false">
      <c r="A205" s="2" t="s">
        <v>808</v>
      </c>
      <c r="B205" s="3" t="s">
        <v>809</v>
      </c>
      <c r="C205" s="4" t="s">
        <v>789</v>
      </c>
      <c r="D205" s="4"/>
      <c r="E205" s="4" t="n">
        <v>115</v>
      </c>
      <c r="F205" s="3" t="s">
        <v>790</v>
      </c>
      <c r="G205" s="2" t="s">
        <v>13</v>
      </c>
      <c r="H205" s="3"/>
      <c r="I205" s="5" t="str">
        <f aca="false">IF(OR(E205="",D205=""),"",E205/D205-1)</f>
        <v/>
      </c>
    </row>
    <row r="206" customFormat="false" ht="15" hidden="false" customHeight="false" outlineLevel="0" collapsed="false">
      <c r="A206" s="2" t="s">
        <v>810</v>
      </c>
      <c r="B206" s="3" t="s">
        <v>811</v>
      </c>
      <c r="C206" s="4" t="s">
        <v>812</v>
      </c>
      <c r="D206" s="4"/>
      <c r="E206" s="4" t="n">
        <v>775</v>
      </c>
      <c r="F206" s="3" t="s">
        <v>813</v>
      </c>
      <c r="G206" s="2" t="s">
        <v>13</v>
      </c>
      <c r="H206" s="3"/>
      <c r="I206" s="5" t="str">
        <f aca="false">IF(OR(E206="",D206=""),"",E206/D206-1)</f>
        <v/>
      </c>
    </row>
    <row r="207" customFormat="false" ht="15" hidden="false" customHeight="false" outlineLevel="0" collapsed="false">
      <c r="A207" s="2" t="s">
        <v>814</v>
      </c>
      <c r="B207" s="3" t="s">
        <v>815</v>
      </c>
      <c r="C207" s="4" t="s">
        <v>816</v>
      </c>
      <c r="D207" s="4"/>
      <c r="E207" s="4" t="n">
        <v>480</v>
      </c>
      <c r="F207" s="3" t="s">
        <v>23</v>
      </c>
      <c r="G207" s="2" t="s">
        <v>24</v>
      </c>
      <c r="H207" s="3" t="s">
        <v>25</v>
      </c>
      <c r="I207" s="5" t="str">
        <f aca="false">IF(OR(E207="",D207=""),"",E207/D207-1)</f>
        <v/>
      </c>
    </row>
    <row r="208" customFormat="false" ht="15" hidden="false" customHeight="false" outlineLevel="0" collapsed="false">
      <c r="A208" s="2" t="s">
        <v>817</v>
      </c>
      <c r="B208" s="3" t="s">
        <v>818</v>
      </c>
      <c r="C208" s="4" t="s">
        <v>28</v>
      </c>
      <c r="D208" s="4"/>
      <c r="E208" s="4" t="n">
        <v>625</v>
      </c>
      <c r="F208" s="3" t="s">
        <v>33</v>
      </c>
      <c r="G208" s="2" t="s">
        <v>24</v>
      </c>
      <c r="H208" s="3"/>
      <c r="I208" s="5" t="str">
        <f aca="false">IF(OR(E208="",D208=""),"",E208/D208-1)</f>
        <v/>
      </c>
    </row>
    <row r="209" customFormat="false" ht="15" hidden="false" customHeight="false" outlineLevel="0" collapsed="false">
      <c r="A209" s="6" t="s">
        <v>819</v>
      </c>
      <c r="B209" s="7" t="s">
        <v>820</v>
      </c>
      <c r="C209" s="8" t="s">
        <v>796</v>
      </c>
      <c r="D209" s="8"/>
      <c r="E209" s="8" t="n">
        <v>550</v>
      </c>
      <c r="F209" s="7" t="s">
        <v>797</v>
      </c>
      <c r="G209" s="6" t="s">
        <v>38</v>
      </c>
      <c r="H209" s="7" t="s">
        <v>821</v>
      </c>
      <c r="I209" s="9" t="str">
        <f aca="false">IF(OR(E209="",D209=""),"",E209/D209-1)</f>
        <v/>
      </c>
    </row>
    <row r="210" customFormat="false" ht="15" hidden="false" customHeight="false" outlineLevel="0" collapsed="false">
      <c r="A210" s="2" t="s">
        <v>822</v>
      </c>
      <c r="B210" s="3" t="s">
        <v>823</v>
      </c>
      <c r="C210" s="4" t="s">
        <v>824</v>
      </c>
      <c r="D210" s="4"/>
      <c r="E210" s="4" t="n">
        <v>775</v>
      </c>
      <c r="F210" s="3" t="s">
        <v>813</v>
      </c>
      <c r="G210" s="2" t="s">
        <v>13</v>
      </c>
      <c r="H210" s="3"/>
      <c r="I210" s="5" t="str">
        <f aca="false">IF(OR(E210="",D210=""),"",E210/D210-1)</f>
        <v/>
      </c>
    </row>
    <row r="211" customFormat="false" ht="15" hidden="false" customHeight="false" outlineLevel="0" collapsed="false">
      <c r="A211" s="2" t="s">
        <v>825</v>
      </c>
      <c r="B211" s="3" t="s">
        <v>826</v>
      </c>
      <c r="C211" s="4" t="s">
        <v>690</v>
      </c>
      <c r="D211" s="4"/>
      <c r="E211" s="4" t="n">
        <v>295</v>
      </c>
      <c r="F211" s="3" t="s">
        <v>691</v>
      </c>
      <c r="G211" s="2" t="s">
        <v>13</v>
      </c>
      <c r="H211" s="3" t="s">
        <v>692</v>
      </c>
      <c r="I211" s="5" t="str">
        <f aca="false">IF(OR(E211="",D211=""),"",E211/D211-1)</f>
        <v/>
      </c>
    </row>
    <row r="212" customFormat="false" ht="23.85" hidden="false" customHeight="false" outlineLevel="0" collapsed="false">
      <c r="A212" s="2" t="s">
        <v>827</v>
      </c>
      <c r="B212" s="3" t="s">
        <v>828</v>
      </c>
      <c r="C212" s="4" t="s">
        <v>829</v>
      </c>
      <c r="D212" s="4"/>
      <c r="E212" s="4" t="n">
        <v>450</v>
      </c>
      <c r="F212" s="3" t="s">
        <v>830</v>
      </c>
      <c r="G212" s="2" t="s">
        <v>13</v>
      </c>
      <c r="H212" s="3" t="s">
        <v>748</v>
      </c>
      <c r="I212" s="5" t="str">
        <f aca="false">IF(OR(E212="",D212=""),"",E212/D212-1)</f>
        <v/>
      </c>
    </row>
    <row r="213" customFormat="false" ht="23.85" hidden="false" customHeight="false" outlineLevel="0" collapsed="false">
      <c r="A213" s="2" t="s">
        <v>831</v>
      </c>
      <c r="B213" s="3" t="s">
        <v>832</v>
      </c>
      <c r="C213" s="4" t="s">
        <v>833</v>
      </c>
      <c r="D213" s="4"/>
      <c r="E213" s="4" t="n">
        <v>650</v>
      </c>
      <c r="F213" s="3" t="s">
        <v>834</v>
      </c>
      <c r="G213" s="2" t="s">
        <v>13</v>
      </c>
      <c r="H213" s="3" t="s">
        <v>835</v>
      </c>
      <c r="I213" s="5" t="str">
        <f aca="false">IF(OR(E213="",D213=""),"",E213/D213-1)</f>
        <v/>
      </c>
    </row>
    <row r="214" customFormat="false" ht="15" hidden="false" customHeight="false" outlineLevel="0" collapsed="false">
      <c r="A214" s="2" t="s">
        <v>836</v>
      </c>
      <c r="B214" s="3" t="s">
        <v>837</v>
      </c>
      <c r="C214" s="4" t="s">
        <v>838</v>
      </c>
      <c r="D214" s="4"/>
      <c r="E214" s="4" t="n">
        <v>925</v>
      </c>
      <c r="F214" s="3" t="s">
        <v>839</v>
      </c>
      <c r="G214" s="2" t="s">
        <v>24</v>
      </c>
      <c r="H214" s="3" t="s">
        <v>840</v>
      </c>
      <c r="I214" s="5" t="str">
        <f aca="false">IF(OR(E214="",D214=""),"",E214/D214-1)</f>
        <v/>
      </c>
    </row>
    <row r="215" customFormat="false" ht="15" hidden="false" customHeight="false" outlineLevel="0" collapsed="false">
      <c r="A215" s="2" t="s">
        <v>841</v>
      </c>
      <c r="B215" s="3" t="s">
        <v>842</v>
      </c>
      <c r="C215" s="4" t="s">
        <v>843</v>
      </c>
      <c r="D215" s="4" t="n">
        <v>1158</v>
      </c>
      <c r="E215" s="4" t="n">
        <v>1235</v>
      </c>
      <c r="F215" s="3" t="s">
        <v>844</v>
      </c>
      <c r="G215" s="2" t="s">
        <v>13</v>
      </c>
      <c r="H215" s="3"/>
      <c r="I215" s="5" t="n">
        <f aca="false">IF(OR(E215="",D215=""),"",E215/D215-1)</f>
        <v>0.0664939550949915</v>
      </c>
    </row>
    <row r="216" customFormat="false" ht="23.85" hidden="false" customHeight="false" outlineLevel="0" collapsed="false">
      <c r="A216" s="2" t="s">
        <v>845</v>
      </c>
      <c r="B216" s="3" t="s">
        <v>846</v>
      </c>
      <c r="C216" s="4" t="s">
        <v>829</v>
      </c>
      <c r="D216" s="4"/>
      <c r="E216" s="4" t="n">
        <v>450</v>
      </c>
      <c r="F216" s="3" t="s">
        <v>830</v>
      </c>
      <c r="G216" s="2" t="s">
        <v>13</v>
      </c>
      <c r="H216" s="3" t="s">
        <v>748</v>
      </c>
      <c r="I216" s="5" t="str">
        <f aca="false">IF(OR(E216="",D216=""),"",E216/D216-1)</f>
        <v/>
      </c>
    </row>
    <row r="217" customFormat="false" ht="15" hidden="false" customHeight="false" outlineLevel="0" collapsed="false">
      <c r="A217" s="2" t="s">
        <v>847</v>
      </c>
      <c r="B217" s="3" t="s">
        <v>848</v>
      </c>
      <c r="C217" s="4" t="s">
        <v>28</v>
      </c>
      <c r="D217" s="4"/>
      <c r="E217" s="4" t="n">
        <v>550</v>
      </c>
      <c r="F217" s="3" t="s">
        <v>849</v>
      </c>
      <c r="G217" s="2" t="s">
        <v>13</v>
      </c>
      <c r="H217" s="3"/>
      <c r="I217" s="5" t="str">
        <f aca="false">IF(OR(E217="",D217=""),"",E217/D217-1)</f>
        <v/>
      </c>
    </row>
    <row r="218" customFormat="false" ht="15" hidden="false" customHeight="false" outlineLevel="0" collapsed="false">
      <c r="A218" s="2" t="s">
        <v>850</v>
      </c>
      <c r="B218" s="3" t="s">
        <v>851</v>
      </c>
      <c r="C218" s="4" t="s">
        <v>852</v>
      </c>
      <c r="D218" s="4" t="n">
        <v>527</v>
      </c>
      <c r="E218" s="4" t="n">
        <v>530</v>
      </c>
      <c r="F218" s="3" t="s">
        <v>853</v>
      </c>
      <c r="G218" s="2" t="s">
        <v>13</v>
      </c>
      <c r="H218" s="3"/>
      <c r="I218" s="5" t="n">
        <f aca="false">IF(OR(E218="",D218=""),"",E218/D218-1)</f>
        <v>0.00569259962049329</v>
      </c>
    </row>
    <row r="219" customFormat="false" ht="15" hidden="false" customHeight="false" outlineLevel="0" collapsed="false">
      <c r="A219" s="2" t="s">
        <v>854</v>
      </c>
      <c r="B219" s="3" t="s">
        <v>855</v>
      </c>
      <c r="C219" s="4" t="s">
        <v>47</v>
      </c>
      <c r="D219" s="4" t="n">
        <v>547</v>
      </c>
      <c r="E219" s="4" t="n">
        <v>545</v>
      </c>
      <c r="F219" s="3" t="s">
        <v>856</v>
      </c>
      <c r="G219" s="2" t="s">
        <v>13</v>
      </c>
      <c r="H219" s="3"/>
      <c r="I219" s="5" t="n">
        <f aca="false">IF(OR(E219="",D219=""),"",E219/D219-1)</f>
        <v>-0.00365630712979892</v>
      </c>
    </row>
    <row r="220" customFormat="false" ht="15" hidden="false" customHeight="false" outlineLevel="0" collapsed="false">
      <c r="A220" s="2" t="s">
        <v>857</v>
      </c>
      <c r="B220" s="3" t="s">
        <v>858</v>
      </c>
      <c r="C220" s="4" t="s">
        <v>859</v>
      </c>
      <c r="D220" s="4" t="n">
        <v>942</v>
      </c>
      <c r="E220" s="4" t="n">
        <v>1195</v>
      </c>
      <c r="F220" s="3" t="s">
        <v>860</v>
      </c>
      <c r="G220" s="2" t="s">
        <v>13</v>
      </c>
      <c r="H220" s="3"/>
      <c r="I220" s="5" t="n">
        <f aca="false">IF(OR(E220="",D220=""),"",E220/D220-1)</f>
        <v>0.268577494692144</v>
      </c>
    </row>
    <row r="221" customFormat="false" ht="15" hidden="false" customHeight="false" outlineLevel="0" collapsed="false">
      <c r="A221" s="2" t="s">
        <v>861</v>
      </c>
      <c r="B221" s="3" t="s">
        <v>862</v>
      </c>
      <c r="C221" s="4" t="s">
        <v>863</v>
      </c>
      <c r="D221" s="4" t="n">
        <v>2143</v>
      </c>
      <c r="E221" s="4" t="n">
        <v>2190</v>
      </c>
      <c r="F221" s="3" t="s">
        <v>864</v>
      </c>
      <c r="G221" s="2" t="s">
        <v>13</v>
      </c>
      <c r="H221" s="3"/>
      <c r="I221" s="5" t="n">
        <f aca="false">IF(OR(E221="",D221=""),"",E221/D221-1)</f>
        <v>0.0219318712085861</v>
      </c>
    </row>
    <row r="222" customFormat="false" ht="15" hidden="false" customHeight="false" outlineLevel="0" collapsed="false">
      <c r="A222" s="2" t="s">
        <v>865</v>
      </c>
      <c r="B222" s="3" t="s">
        <v>866</v>
      </c>
      <c r="C222" s="4" t="s">
        <v>863</v>
      </c>
      <c r="D222" s="4" t="n">
        <v>2143</v>
      </c>
      <c r="E222" s="4" t="n">
        <v>2270</v>
      </c>
      <c r="F222" s="3" t="s">
        <v>867</v>
      </c>
      <c r="G222" s="2" t="s">
        <v>13</v>
      </c>
      <c r="H222" s="3"/>
      <c r="I222" s="5" t="n">
        <f aca="false">IF(OR(E222="",D222=""),"",E222/D222-1)</f>
        <v>0.0592627158189454</v>
      </c>
    </row>
    <row r="223" customFormat="false" ht="15" hidden="false" customHeight="false" outlineLevel="0" collapsed="false">
      <c r="A223" s="2" t="s">
        <v>868</v>
      </c>
      <c r="B223" s="3" t="s">
        <v>869</v>
      </c>
      <c r="C223" s="4" t="s">
        <v>870</v>
      </c>
      <c r="D223" s="4" t="n">
        <v>2223</v>
      </c>
      <c r="E223" s="4" t="n">
        <v>2270</v>
      </c>
      <c r="F223" s="3" t="s">
        <v>871</v>
      </c>
      <c r="G223" s="2" t="s">
        <v>13</v>
      </c>
      <c r="H223" s="3"/>
      <c r="I223" s="5" t="n">
        <f aca="false">IF(OR(E223="",D223=""),"",E223/D223-1)</f>
        <v>0.0211426000899686</v>
      </c>
    </row>
    <row r="224" customFormat="false" ht="15" hidden="false" customHeight="false" outlineLevel="0" collapsed="false">
      <c r="A224" s="2" t="s">
        <v>872</v>
      </c>
      <c r="B224" s="3" t="s">
        <v>873</v>
      </c>
      <c r="C224" s="4" t="s">
        <v>106</v>
      </c>
      <c r="D224" s="4" t="n">
        <v>3185</v>
      </c>
      <c r="E224" s="4" t="n">
        <v>3510</v>
      </c>
      <c r="F224" s="3" t="s">
        <v>874</v>
      </c>
      <c r="G224" s="2" t="s">
        <v>13</v>
      </c>
      <c r="H224" s="3"/>
      <c r="I224" s="5" t="n">
        <f aca="false">IF(OR(E224="",D224=""),"",E224/D224-1)</f>
        <v>0.102040816326531</v>
      </c>
    </row>
    <row r="225" customFormat="false" ht="15" hidden="false" customHeight="false" outlineLevel="0" collapsed="false">
      <c r="A225" s="2" t="s">
        <v>875</v>
      </c>
      <c r="B225" s="3" t="s">
        <v>876</v>
      </c>
      <c r="C225" s="4" t="s">
        <v>877</v>
      </c>
      <c r="D225" s="4" t="n">
        <v>4256</v>
      </c>
      <c r="E225" s="4" t="n">
        <v>4680</v>
      </c>
      <c r="F225" s="3" t="s">
        <v>878</v>
      </c>
      <c r="G225" s="2" t="s">
        <v>13</v>
      </c>
      <c r="H225" s="3"/>
      <c r="I225" s="5" t="n">
        <f aca="false">IF(OR(E225="",D225=""),"",E225/D225-1)</f>
        <v>0.099624060150376</v>
      </c>
    </row>
    <row r="226" customFormat="false" ht="15" hidden="false" customHeight="false" outlineLevel="0" collapsed="false">
      <c r="A226" s="2" t="s">
        <v>879</v>
      </c>
      <c r="B226" s="3" t="s">
        <v>880</v>
      </c>
      <c r="C226" s="4" t="s">
        <v>881</v>
      </c>
      <c r="D226" s="4" t="n">
        <v>2575</v>
      </c>
      <c r="E226" s="4" t="n">
        <v>2830</v>
      </c>
      <c r="F226" s="3" t="s">
        <v>882</v>
      </c>
      <c r="G226" s="2" t="s">
        <v>13</v>
      </c>
      <c r="H226" s="3"/>
      <c r="I226" s="5" t="n">
        <f aca="false">IF(OR(E226="",D226=""),"",E226/D226-1)</f>
        <v>0.0990291262135923</v>
      </c>
    </row>
    <row r="227" customFormat="false" ht="15" hidden="false" customHeight="false" outlineLevel="0" collapsed="false">
      <c r="A227" s="2" t="s">
        <v>883</v>
      </c>
      <c r="B227" s="3" t="s">
        <v>884</v>
      </c>
      <c r="C227" s="4" t="s">
        <v>885</v>
      </c>
      <c r="D227" s="4" t="n">
        <v>9755</v>
      </c>
      <c r="E227" s="4" t="n">
        <v>10750</v>
      </c>
      <c r="F227" s="3" t="s">
        <v>886</v>
      </c>
      <c r="G227" s="2" t="s">
        <v>13</v>
      </c>
      <c r="H227" s="3"/>
      <c r="I227" s="5" t="n">
        <f aca="false">IF(OR(E227="",D227=""),"",E227/D227-1)</f>
        <v>0.101998974884675</v>
      </c>
    </row>
    <row r="228" customFormat="false" ht="15" hidden="false" customHeight="false" outlineLevel="0" collapsed="false">
      <c r="A228" s="2" t="s">
        <v>887</v>
      </c>
      <c r="B228" s="3" t="s">
        <v>888</v>
      </c>
      <c r="C228" s="4" t="s">
        <v>889</v>
      </c>
      <c r="D228" s="4" t="n">
        <v>6680</v>
      </c>
      <c r="E228" s="4" t="n">
        <v>7500</v>
      </c>
      <c r="F228" s="3" t="s">
        <v>890</v>
      </c>
      <c r="G228" s="2" t="s">
        <v>13</v>
      </c>
      <c r="H228" s="3"/>
      <c r="I228" s="5" t="n">
        <f aca="false">IF(OR(E228="",D228=""),"",E228/D228-1)</f>
        <v>0.122754491017964</v>
      </c>
    </row>
    <row r="229" customFormat="false" ht="15" hidden="false" customHeight="false" outlineLevel="0" collapsed="false">
      <c r="A229" s="2" t="s">
        <v>891</v>
      </c>
      <c r="B229" s="3" t="s">
        <v>892</v>
      </c>
      <c r="C229" s="4" t="s">
        <v>893</v>
      </c>
      <c r="D229" s="4" t="n">
        <v>16635</v>
      </c>
      <c r="E229" s="4" t="n">
        <v>18300</v>
      </c>
      <c r="F229" s="3" t="s">
        <v>350</v>
      </c>
      <c r="G229" s="2" t="s">
        <v>13</v>
      </c>
      <c r="H229" s="3" t="s">
        <v>894</v>
      </c>
      <c r="I229" s="5" t="n">
        <f aca="false">IF(OR(E229="",D229=""),"",E229/D229-1)</f>
        <v>0.100090171325518</v>
      </c>
    </row>
    <row r="230" customFormat="false" ht="15" hidden="false" customHeight="false" outlineLevel="0" collapsed="false">
      <c r="A230" s="2" t="s">
        <v>895</v>
      </c>
      <c r="B230" s="3" t="s">
        <v>896</v>
      </c>
      <c r="C230" s="4" t="s">
        <v>897</v>
      </c>
      <c r="D230" s="4" t="n">
        <v>24735</v>
      </c>
      <c r="E230" s="4" t="n">
        <v>27250</v>
      </c>
      <c r="F230" s="3" t="s">
        <v>898</v>
      </c>
      <c r="G230" s="2" t="s">
        <v>13</v>
      </c>
      <c r="H230" s="3"/>
      <c r="I230" s="5" t="n">
        <f aca="false">IF(OR(E230="",D230=""),"",E230/D230-1)</f>
        <v>0.101677784515868</v>
      </c>
    </row>
    <row r="231" customFormat="false" ht="23.85" hidden="false" customHeight="false" outlineLevel="0" collapsed="false">
      <c r="A231" s="2" t="s">
        <v>899</v>
      </c>
      <c r="B231" s="3" t="s">
        <v>900</v>
      </c>
      <c r="C231" s="4" t="s">
        <v>678</v>
      </c>
      <c r="D231" s="4" t="n">
        <v>756</v>
      </c>
      <c r="E231" s="4" t="n">
        <v>935</v>
      </c>
      <c r="F231" s="3" t="s">
        <v>555</v>
      </c>
      <c r="G231" s="2" t="s">
        <v>24</v>
      </c>
      <c r="H231" s="3" t="s">
        <v>901</v>
      </c>
      <c r="I231" s="5" t="n">
        <f aca="false">IF(OR(E231="",D231=""),"",E231/D231-1)</f>
        <v>0.236772486772487</v>
      </c>
    </row>
  </sheetData>
  <autoFilter ref="A1:I2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2026-09-15T20:46:20Z</dcterms:created>
  <dc:creator>openpyxl</dc:creator>
  <dc:description/>
  <dc:language>en-US</dc:language>
  <cp:lastModifiedBy/>
  <dcterms:modified xsi:type="dcterms:W3CDTF">2026-09-15T20:46:20Z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